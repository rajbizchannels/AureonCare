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shboard" sheetId="2" state="visible" r:id="rId4"/>
    <sheet name="Lists" sheetId="3" state="visible" r:id="rId5"/>
    <sheet name="Video Tracker" sheetId="4" state="visible" r:id="rId6"/>
  </sheets>
  <definedNames>
    <definedName function="false" hidden="true" localSheetId="3" name="_xlnm._FilterDatabase" vbProcedure="false">'Video Tracker'!$A$2:$V$41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<sst xmlns="http://schemas.openxmlformats.org/spreadsheetml/2006/main" count="679" uniqueCount="300">
  <si>
    <t xml:space="preserve">AureonCare video library — production tracker</t>
  </si>
  <si>
    <t xml:space="preserve">What this is</t>
  </si>
  <si>
    <t xml:space="preserve">A tracker for the 32 single-feature training videos planned in docs/demo/VIDEO_LIBRARY_PLAN.md, plus 6 backlog ideas and the one prep task that precedes them. Each video runs 1-2 minutes and covers one module feature end to end.</t>
  </si>
  <si>
    <t xml:space="preserve">Status today</t>
  </si>
  <si>
    <t xml:space="preserve">Plan only. Nothing has been produced yet. The Google Meet recording in docs/google-verification/ exists for Google's OAuth review and can be re-edited into video V26.</t>
  </si>
  <si>
    <t xml:space="preserve">Sheets</t>
  </si>
  <si>
    <t xml:space="preserve">Video Tracker — the working list, one row per video.    Dashboard — counts and completion, all formula-driven.    Lists — dropdown values; edit here to change the options.</t>
  </si>
  <si>
    <t xml:space="preserve">How to use it</t>
  </si>
  <si>
    <t xml:space="preserve">Fill in the yellow columns only: Owner, Status, the four stage columns, the three dates, Video URL and Notes. Everything else is reference data from the plan, and Progress / Days to target are formulas — do not overwrite them.</t>
  </si>
  <si>
    <t xml:space="preserve">Progress</t>
  </si>
  <si>
    <t xml:space="preserve">Counts how many of Script / Recorded / Edited / Reviewed are set to Yes, out of four.</t>
  </si>
  <si>
    <t xml:space="preserve">Days to target</t>
  </si>
  <si>
    <t xml:space="preserve">Target publish minus today. Blank once Actual publish is filled in. Negative and unpublished turns red.</t>
  </si>
  <si>
    <t xml:space="preserve">Status meanings</t>
  </si>
  <si>
    <t xml:space="preserve">Not started · Scripting (writing the beat sheet) · Recording (driving the app) · Editing (captions, titles, mp4) · In review (SME check) · Approved (SME signed off, not yet posted) · Published (live to viewers) · On hold</t>
  </si>
  <si>
    <t xml:space="preserve">Example row</t>
  </si>
  <si>
    <t xml:space="preserve">V03 | Wave 1 | P0 | Book an appointment | Scheduling ▸ Calendar | Front desk | 2 | ... | Owner: Product marketing | Status: Editing | Script Yes | Recorded Yes | Edited In progress | Reviewed No | Progress 50% | Start 2026-08-10 | Target 2026-08-24 | URL blank until published</t>
  </si>
  <si>
    <t xml:space="preserve">Conventions</t>
  </si>
  <si>
    <t xml:space="preserve">1280x720, no audio in v1 (captions carry the teaching), 5s title card + 10s why-this-matters + 60-90s journey + 10s recap. Synthetic data only, with the demo-environment watermark. Personas from docs/demo/DEMO_SCENARIOS.md.</t>
  </si>
  <si>
    <t xml:space="preserve">Re-cut trigger</t>
  </si>
  <si>
    <t xml:space="preserve">Any change to the app shell, a module's tab layout, or a journey's step order invalidates the affected video. Keep every video script-driven so a re-cut is cheap.</t>
  </si>
  <si>
    <t xml:space="preserve">Dashboard — recalculates from the Video Tracker</t>
  </si>
  <si>
    <t xml:space="preserve">Overall</t>
  </si>
  <si>
    <t xml:space="preserve">Items tracked</t>
  </si>
  <si>
    <t xml:space="preserve">Videos planned</t>
  </si>
  <si>
    <t xml:space="preserve">Published</t>
  </si>
  <si>
    <t xml:space="preserve">In flight (started, not published)</t>
  </si>
  <si>
    <t xml:space="preserve">Not started</t>
  </si>
  <si>
    <t xml:space="preserve">Overall completion</t>
  </si>
  <si>
    <t xml:space="preserve">Planned runtime (min)</t>
  </si>
  <si>
    <t xml:space="preserve">Published runtime (min)</t>
  </si>
  <si>
    <t xml:space="preserve">By wave</t>
  </si>
  <si>
    <t xml:space="preserve">Wave</t>
  </si>
  <si>
    <t xml:space="preserve">Videos</t>
  </si>
  <si>
    <t xml:space="preserve">Complete</t>
  </si>
  <si>
    <t xml:space="preserve">Runtime (min)</t>
  </si>
  <si>
    <t xml:space="preserve">Prep</t>
  </si>
  <si>
    <t xml:space="preserve">Wave 1</t>
  </si>
  <si>
    <t xml:space="preserve">Wave 2</t>
  </si>
  <si>
    <t xml:space="preserve">Wave 3</t>
  </si>
  <si>
    <t xml:space="preserve">Wave 4</t>
  </si>
  <si>
    <t xml:space="preserve">Backlog</t>
  </si>
  <si>
    <t xml:space="preserve">By status</t>
  </si>
  <si>
    <t xml:space="preserve">Status</t>
  </si>
  <si>
    <t xml:space="preserve">Count</t>
  </si>
  <si>
    <t xml:space="preserve">Share</t>
  </si>
  <si>
    <t xml:space="preserve">Scripting</t>
  </si>
  <si>
    <t xml:space="preserve">Recording</t>
  </si>
  <si>
    <t xml:space="preserve">Editing</t>
  </si>
  <si>
    <t xml:space="preserve">In review</t>
  </si>
  <si>
    <t xml:space="preserve">Approved</t>
  </si>
  <si>
    <t xml:space="preserve">On hold</t>
  </si>
  <si>
    <t xml:space="preserve">By stage</t>
  </si>
  <si>
    <t xml:space="preserve">Stage</t>
  </si>
  <si>
    <t xml:space="preserve">Done</t>
  </si>
  <si>
    <t xml:space="preserve">In progress</t>
  </si>
  <si>
    <t xml:space="preserve">Scripts</t>
  </si>
  <si>
    <t xml:space="preserve">Recordings</t>
  </si>
  <si>
    <t xml:space="preserve">Edits</t>
  </si>
  <si>
    <t xml:space="preserve">Reviews</t>
  </si>
  <si>
    <t xml:space="preserve">Every figure here is a formula over the Video Tracker sheet — update the tracker, not this sheet.</t>
  </si>
  <si>
    <t xml:space="preserve">Yes / No</t>
  </si>
  <si>
    <t xml:space="preserve">Priority</t>
  </si>
  <si>
    <t xml:space="preserve">Owner</t>
  </si>
  <si>
    <t xml:space="preserve">Edit these lists to change the dropdown options on the Video Tracker.</t>
  </si>
  <si>
    <t xml:space="preserve">No</t>
  </si>
  <si>
    <t xml:space="preserve">P0</t>
  </si>
  <si>
    <t xml:space="preserve">Unassigned</t>
  </si>
  <si>
    <t xml:space="preserve">P1</t>
  </si>
  <si>
    <t xml:space="preserve">Product marketing</t>
  </si>
  <si>
    <t xml:space="preserve">Yes</t>
  </si>
  <si>
    <t xml:space="preserve">P2</t>
  </si>
  <si>
    <t xml:space="preserve">Clinical SME</t>
  </si>
  <si>
    <t xml:space="preserve">P3</t>
  </si>
  <si>
    <t xml:space="preserve">Billing SME</t>
  </si>
  <si>
    <t xml:space="preserve">P4</t>
  </si>
  <si>
    <t xml:space="preserve">Video editor</t>
  </si>
  <si>
    <t xml:space="preserve">Engineering</t>
  </si>
  <si>
    <t xml:space="preserve">Video Tracker — one row per video · fill in the yellow columns only</t>
  </si>
  <si>
    <t xml:space="preserve">ID</t>
  </si>
  <si>
    <t xml:space="preserve">Title</t>
  </si>
  <si>
    <t xml:space="preserve">Module / path in app</t>
  </si>
  <si>
    <t xml:space="preserve">Audience</t>
  </si>
  <si>
    <t xml:space="preserve">Target (min)</t>
  </si>
  <si>
    <t xml:space="preserve">Journey (end to end)</t>
  </si>
  <si>
    <t xml:space="preserve">What it teaches</t>
  </si>
  <si>
    <t xml:space="preserve">Script</t>
  </si>
  <si>
    <t xml:space="preserve">Recorded</t>
  </si>
  <si>
    <t xml:space="preserve">Edited</t>
  </si>
  <si>
    <t xml:space="preserve">Reviewed</t>
  </si>
  <si>
    <t xml:space="preserve">Start date</t>
  </si>
  <si>
    <t xml:space="preserve">Target publish</t>
  </si>
  <si>
    <t xml:space="preserve">Actual publish</t>
  </si>
  <si>
    <t xml:space="preserve">Video URL</t>
  </si>
  <si>
    <t xml:space="preserve">Notes</t>
  </si>
  <si>
    <t xml:space="preserve">P01</t>
  </si>
  <si>
    <t xml:space="preserve">Shared recorder harness</t>
  </si>
  <si>
    <t xml:space="preserve">docs/google-verification/record-google-meet-demo.js</t>
  </si>
  <si>
    <t xml:space="preserve">Production</t>
  </si>
  <si>
    <t xml:space="preserve">Generalise the Google Meet recorder: shared fixtures, caption bar, title cards, cursor, mp4 output; one script per video.</t>
  </si>
  <si>
    <t xml:space="preserve">One-time cost that makes all 32 videos re-cuttable when the UI changes.</t>
  </si>
  <si>
    <t xml:space="preserve">Harness at docs/demo/video-harness — branding kit and narration pipeline included.</t>
  </si>
  <si>
    <t xml:space="preserve">V01</t>
  </si>
  <si>
    <t xml:space="preserve">Find your way around AureonCare</t>
  </si>
  <si>
    <t xml:space="preserve">App shell · search · help</t>
  </si>
  <si>
    <t xml:space="preserve">Everyone</t>
  </si>
  <si>
    <t xml:space="preserve">Sign in → three-pane shell → switch workspaces → universal search jumps to a patient → help drawer → AI assistant → theme and language switch.</t>
  </si>
  <si>
    <t xml:space="preserve">The navigation model, so every later video can say 'go to X ▸ Y'.</t>
  </si>
  <si>
    <t xml:space="preserve">Recorded, branded (logo bumper, caption-bar mark, outro) and narrated. Voice is placeholder TTS — re-render with VOICE_ENGINE=files before publishing.</t>
  </si>
  <si>
    <t xml:space="preserve">V02</t>
  </si>
  <si>
    <t xml:space="preserve">Register a new patient</t>
  </si>
  <si>
    <t xml:space="preserve">Patients ▸ Patient Records</t>
  </si>
  <si>
    <t xml:space="preserve">Front desk</t>
  </si>
  <si>
    <t xml:space="preserve">New Patient → demographics, contact, insurance, emergency contact → save → record opens → set status → invite to portal.</t>
  </si>
  <si>
    <t xml:space="preserve">Which fields matter downstream: insurance drives claims, email drives the portal.</t>
  </si>
  <si>
    <t xml:space="preserve">V03</t>
  </si>
  <si>
    <t xml:space="preserve">Book an appointment</t>
  </si>
  <si>
    <t xml:space="preserve">Scheduling ▸ Calendar</t>
  </si>
  <si>
    <t xml:space="preserve">Day/week/month views → pick a slot → New Appointment (patient, provider, type, duration, telehealth) → save → reschedule → cancel with reason → reminders.</t>
  </si>
  <si>
    <t xml:space="preserve">Appointment type drives duration, and cancelling is not deleting.</t>
  </si>
  <si>
    <t xml:space="preserve">V04</t>
  </si>
  <si>
    <t xml:space="preserve">Read your day on the dashboard</t>
  </si>
  <si>
    <t xml:space="preserve">Home ▸ Dashboard</t>
  </si>
  <si>
    <t xml:space="preserve">Metric tiles and what each counts → appointments quick view → tasks quick view → revenue quick view → click through to the module.</t>
  </si>
  <si>
    <t xml:space="preserve">The dashboard is a launchpad, not a report.</t>
  </si>
  <si>
    <t xml:space="preserve">V05</t>
  </si>
  <si>
    <t xml:space="preserve">Document a visit</t>
  </si>
  <si>
    <t xml:space="preserve">Clinician</t>
  </si>
  <si>
    <t xml:space="preserve">Open the chart → history timeline → new clinical record → chief complaint and notes → vitals → allergies → save → appears on timeline and in portal.</t>
  </si>
  <si>
    <t xml:space="preserve">The chart is the single source of truth, and the patient sees what you save.</t>
  </si>
  <si>
    <t xml:space="preserve">V06</t>
  </si>
  <si>
    <t xml:space="preserve">Run a telehealth visit</t>
  </si>
  <si>
    <t xml:space="preserve">Clinical ▸ Telehealth</t>
  </si>
  <si>
    <t xml:space="preserve">Active provider banner → New Session from an appointment → attach pre-session consent form → join link → Join → end → session under Recent.</t>
  </si>
  <si>
    <t xml:space="preserve">Scheduled session vs Instant meeting; pre-session forms land in the portal.</t>
  </si>
  <si>
    <t xml:space="preserve">V07</t>
  </si>
  <si>
    <t xml:space="preserve">Create and submit a claim</t>
  </si>
  <si>
    <t xml:space="preserve">Billing ▸ Claims</t>
  </si>
  <si>
    <t xml:space="preserve">Billing</t>
  </si>
  <si>
    <t xml:space="preserve">New Claim from a completed encounter → payer, codes, charges → save draft → validate → submit to clearinghouse → status Submitted → where rejections surface.</t>
  </si>
  <si>
    <t xml:space="preserve">The claim states and what each one means for cash.</t>
  </si>
  <si>
    <t xml:space="preserve">V08</t>
  </si>
  <si>
    <t xml:space="preserve">What your patients see</t>
  </si>
  <si>
    <t xml:space="preserve">Patients ▸ Patient Portal</t>
  </si>
  <si>
    <t xml:space="preserve">Front desk · clinician</t>
  </si>
  <si>
    <t xml:space="preserve">Portal as the patient: overview → appointments → diagnoses → prescriptions → records → forms requested → complete a form → submission appears staff-side.</t>
  </si>
  <si>
    <t xml:space="preserve">Staff can answer portal questions, and know what publishing exposes.</t>
  </si>
  <si>
    <t xml:space="preserve">V09</t>
  </si>
  <si>
    <t xml:space="preserve">Get a pre-authorization approved</t>
  </si>
  <si>
    <t xml:space="preserve">Billing ▸ Pre-Authorizations</t>
  </si>
  <si>
    <t xml:space="preserve">New pre-auth against payer and service → clinical justification → submit → track Submitted → Approved/Denied → link to appointment and claim.</t>
  </si>
  <si>
    <t xml:space="preserve">Do this before the visit, not after the denial.</t>
  </si>
  <si>
    <t xml:space="preserve">Re-rendered against the merged UI.</t>
  </si>
  <si>
    <t xml:space="preserve">V10</t>
  </si>
  <si>
    <t xml:space="preserve">Work a denial to resolution</t>
  </si>
  <si>
    <t xml:space="preserve">Billing ▸ Denials</t>
  </si>
  <si>
    <t xml:space="preserve">Denials queue → open a denied claim → read the denial reason → correct the coding → resubmit → track the appeal.</t>
  </si>
  <si>
    <t xml:space="preserve">The denial reason codes staff actually see, and the resubmit path.</t>
  </si>
  <si>
    <t xml:space="preserve">V11</t>
  </si>
  <si>
    <t xml:space="preserve">Record a payment and post it</t>
  </si>
  <si>
    <t xml:space="preserve">Billing ▸ Payments / Payment Postings</t>
  </si>
  <si>
    <t xml:space="preserve">Record an insurance payment → allocate across claim lines → patient responsibility → balance updates on the claim and in Receivables.</t>
  </si>
  <si>
    <t xml:space="preserve">Why unposted payments distort AR.</t>
  </si>
  <si>
    <t xml:space="preserve">V12</t>
  </si>
  <si>
    <t xml:space="preserve">Quote, invoice, get paid</t>
  </si>
  <si>
    <t xml:space="preserve">Billing ▸ Quotes &amp; Invoices</t>
  </si>
  <si>
    <t xml:space="preserve">Front desk · billing</t>
  </si>
  <si>
    <t xml:space="preserve">Build a quote from the catalogue → convert to invoice → send → take a card payment via Stripe → receipt → invoice closes and Accounting reflects it.</t>
  </si>
  <si>
    <t xml:space="preserve">The self-pay path, which the claims videos do not cover.</t>
  </si>
  <si>
    <t xml:space="preserve">V13</t>
  </si>
  <si>
    <t xml:space="preserve">Prescribe and send electronically</t>
  </si>
  <si>
    <t xml:space="preserve">Clinical ▸ Diagnoses ▸ e-Prescribe</t>
  </si>
  <si>
    <t xml:space="preserve">New prescription → drug, dose, refills → interaction and allergy check fires → choose the patient's pharmacy → send via Surescripts → status → appears in portal.</t>
  </si>
  <si>
    <t xml:space="preserve">The safety checks are the point; do not click past them.</t>
  </si>
  <si>
    <t xml:space="preserve">V14</t>
  </si>
  <si>
    <t xml:space="preserve">Order a lab and file the result</t>
  </si>
  <si>
    <t xml:space="preserve">Clinical ▸ Laboratories</t>
  </si>
  <si>
    <t xml:space="preserve">New lab order → panel and diagnosis → transmit to Labcorp → track status → result returns → review, flag abnormal, file to chart → notify patient.</t>
  </si>
  <si>
    <t xml:space="preserve">The ordering loop closes in the chart, not in email.</t>
  </si>
  <si>
    <t xml:space="preserve">V15</t>
  </si>
  <si>
    <t xml:space="preserve">Record a diagnosis</t>
  </si>
  <si>
    <t xml:space="preserve">Clinical ▸ Diagnoses</t>
  </si>
  <si>
    <t xml:space="preserve">New diagnosis → ICD-10 search → status (active/resolved/chronic) → onset → link to encounter → flows onto claims and the portal.</t>
  </si>
  <si>
    <t xml:space="preserve">Diagnosis quality drives claim acceptance.</t>
  </si>
  <si>
    <t xml:space="preserve">Re-recorded against the relocated nav (Clinical, not Patients) and the new patient picker on the standalone form. Narrated with google/en-US-Neural2-D to match the rest of the library. Re-rendered against the merged UI.</t>
  </si>
  <si>
    <t xml:space="preserve">V16</t>
  </si>
  <si>
    <t xml:space="preserve">Set up appointment types and provider schedules</t>
  </si>
  <si>
    <t xml:space="preserve">Scheduling ▸ Setup / Providers</t>
  </si>
  <si>
    <t xml:space="preserve">Admin</t>
  </si>
  <si>
    <t xml:space="preserve">Appointment types with durations, colours, telehealth defaults → provider working hours → time off → calendar reflects both immediately.</t>
  </si>
  <si>
    <t xml:space="preserve">Most scheduling complaints are a configuration problem, fixed here.</t>
  </si>
  <si>
    <t xml:space="preserve">V17</t>
  </si>
  <si>
    <t xml:space="preserve">Let patients book themselves</t>
  </si>
  <si>
    <t xml:space="preserve">Public booking page</t>
  </si>
  <si>
    <t xml:space="preserve">Admin · front desk</t>
  </si>
  <si>
    <t xml:space="preserve">Configure bookable types → share the public link → patient flow (Select Type → Choose Time → Your Info → Confirm) → booking lands on the calendar.</t>
  </si>
  <si>
    <t xml:space="preserve">What patients can and cannot self-book.</t>
  </si>
  <si>
    <t xml:space="preserve">V18</t>
  </si>
  <si>
    <t xml:space="preserve">Fill a cancelled slot from the waitlist</t>
  </si>
  <si>
    <t xml:space="preserve">Scheduling ▸ Waitlist</t>
  </si>
  <si>
    <t xml:space="preserve">Add a patient with priority and flexibility → a cancellation opens a slot → notify next patient → confirm → appointment created, entry clears.</t>
  </si>
  <si>
    <t xml:space="preserve">The waitlist only works if entries carry real availability windows.</t>
  </si>
  <si>
    <t xml:space="preserve">V19</t>
  </si>
  <si>
    <t xml:space="preserve">Collect intake and consent before arrival</t>
  </si>
  <si>
    <t xml:space="preserve">Patients ▸ Patient Intake</t>
  </si>
  <si>
    <t xml:space="preserve">Build an intake flow from forms → send to patient → patient completes in portal → staff review → data lands on chart → consent stored with timestamp.</t>
  </si>
  <si>
    <t xml:space="preserve">Intake forms vs intake flows vs consent forms.</t>
  </si>
  <si>
    <t xml:space="preserve">V20</t>
  </si>
  <si>
    <t xml:space="preserve">Build a form template and read the submissions</t>
  </si>
  <si>
    <t xml:space="preserve">Patients ▸ Form Templates</t>
  </si>
  <si>
    <t xml:space="preserve">New template → field types and required fields → publish → assign to a patient → submissions tab → open a completed submission → form audit log.</t>
  </si>
  <si>
    <t xml:space="preserve">Forms are versioned and audited; edit deliberately.</t>
  </si>
  <si>
    <t xml:space="preserve">V21</t>
  </si>
  <si>
    <t xml:space="preserve">Answer a question with a report</t>
  </si>
  <si>
    <t xml:space="preserve">Insights ▸ Reports</t>
  </si>
  <si>
    <t xml:space="preserve">Manager</t>
  </si>
  <si>
    <t xml:space="preserve">Operational vs financial vs insurance categories → open No-Show Report → date range → chart type → read the trend → export to PDF/Excel.</t>
  </si>
  <si>
    <t xml:space="preserve">Which report answers which question.</t>
  </si>
  <si>
    <t xml:space="preserve">V22</t>
  </si>
  <si>
    <t xml:space="preserve">Build a custom report and export it</t>
  </si>
  <si>
    <t xml:space="preserve">Insights ▸ Custom Report</t>
  </si>
  <si>
    <t xml:space="preserve">Custom Report → data source, columns, filters, grouping → preview → save → export.</t>
  </si>
  <si>
    <t xml:space="preserve">The escape hatch when no standard report fits.</t>
  </si>
  <si>
    <t xml:space="preserve">V23</t>
  </si>
  <si>
    <t xml:space="preserve">Package services and run a promotion</t>
  </si>
  <si>
    <t xml:space="preserve">Growth ▸ Service Catalog</t>
  </si>
  <si>
    <t xml:space="preserve">Create a service with price and duration → bundle into a package → category → promotion with validity window → appears in booking and quotes → statistics.</t>
  </si>
  <si>
    <t xml:space="preserve">Pricing lives in one place and flows everywhere.</t>
  </si>
  <si>
    <t xml:space="preserve">V24</t>
  </si>
  <si>
    <t xml:space="preserve">Configure your clinic</t>
  </si>
  <si>
    <t xml:space="preserve">Settings ▸ Practice</t>
  </si>
  <si>
    <t xml:space="preserve">Clinic identity, address, timezone, currency → working hours → appointment rules (slot length, buffers, booking window).</t>
  </si>
  <si>
    <t xml:space="preserve">These settings are upstream of scheduling behaviour.</t>
  </si>
  <si>
    <t xml:space="preserve">V25</t>
  </si>
  <si>
    <t xml:space="preserve">Add users and control what they can see</t>
  </si>
  <si>
    <t xml:space="preserve">Settings ▸ Access Control</t>
  </si>
  <si>
    <t xml:space="preserve">Invite a user → assign role → permissions matrix → module-level effect → multi-role users → plan gating vs role gating.</t>
  </si>
  <si>
    <t xml:space="preserve">The two independent gates that explain 'why can't I see this module'.</t>
  </si>
  <si>
    <t xml:space="preserve">V26</t>
  </si>
  <si>
    <t xml:space="preserve">Connect a video provider</t>
  </si>
  <si>
    <t xml:space="preserve">Settings ▸ Telehealth Setup</t>
  </si>
  <si>
    <t xml:space="preserve">Telehealth Setup → connect an account via OAuth → test connection → enable → becomes the active provider in Telehealth.</t>
  </si>
  <si>
    <t xml:space="preserve">Re-edit of the existing Google Meet recording — cheapest video in the list.</t>
  </si>
  <si>
    <t xml:space="preserve">V27</t>
  </si>
  <si>
    <t xml:space="preserve">Connect pharmacy, lab and payment partners</t>
  </si>
  <si>
    <t xml:space="preserve">Settings ▸ Integrations</t>
  </si>
  <si>
    <t xml:space="preserve">Integrations → Surescripts, Labcorp, Optum, Stripe → credentials → sandbox vs live → enable → where each shows up in daily work.</t>
  </si>
  <si>
    <t xml:space="preserve">An integration must be configured before it can be enabled.</t>
  </si>
  <si>
    <t xml:space="preserve">V28</t>
  </si>
  <si>
    <t xml:space="preserve">Stock: item to purchase order to receipt</t>
  </si>
  <si>
    <t xml:space="preserve">Operations ▸ Inventory</t>
  </si>
  <si>
    <t xml:space="preserve">Ops</t>
  </si>
  <si>
    <t xml:space="preserve">Create an item with category and reorder point → stock levels → low-stock alert → purchase order to supplier → receive stock → levels update.</t>
  </si>
  <si>
    <t xml:space="preserve">The reorder point is what makes the alerts useful.</t>
  </si>
  <si>
    <t xml:space="preserve">V29</t>
  </si>
  <si>
    <t xml:space="preserve">Close the books</t>
  </si>
  <si>
    <t xml:space="preserve">Operations ▸ Accounting</t>
  </si>
  <si>
    <t xml:space="preserve">Finance</t>
  </si>
  <si>
    <t xml:space="preserve">Chart of accounts → journal entries → receivables and payables ageing → reconciliation against a statement → generate statements.</t>
  </si>
  <si>
    <t xml:space="preserve">How clinical and billing activity lands in the ledger.</t>
  </si>
  <si>
    <t xml:space="preserve">V30</t>
  </si>
  <si>
    <t xml:space="preserve">Prove who touched what</t>
  </si>
  <si>
    <t xml:space="preserve">Settings ▸ Audit Logs</t>
  </si>
  <si>
    <t xml:space="preserve">Compliance</t>
  </si>
  <si>
    <t xml:space="preserve">Audit Logs → filter by user, patient, action, date → open an entry → export for an audit request.</t>
  </si>
  <si>
    <t xml:space="preserve">The HIPAA answer to 'who viewed this record'.</t>
  </si>
  <si>
    <t xml:space="preserve">V31</t>
  </si>
  <si>
    <t xml:space="preserve">Back up, restore, archive</t>
  </si>
  <si>
    <t xml:space="preserve">Settings ▸ Backup &amp; Restore</t>
  </si>
  <si>
    <t xml:space="preserve">Admin · IT</t>
  </si>
  <si>
    <t xml:space="preserve">Run a backup → what it includes → restore preview → archive old records → retrieve from archive.</t>
  </si>
  <si>
    <t xml:space="preserve">Archive and backup solve different problems.</t>
  </si>
  <si>
    <t xml:space="preserve">V32</t>
  </si>
  <si>
    <t xml:space="preserve">Exchange data over FHIR</t>
  </si>
  <si>
    <t xml:space="preserve">Clinical ▸ FHIR Resources / Tracking</t>
  </si>
  <si>
    <t xml:space="preserve">IT</t>
  </si>
  <si>
    <t xml:space="preserve">Browse resource types → inspect a Patient/Observation resource → FHIR Tracking shows exchanges and failures → retry a failed exchange.</t>
  </si>
  <si>
    <t xml:space="preserve">Where to look when a partner says 'we didn't get it'.</t>
  </si>
  <si>
    <t xml:space="preserve">B01</t>
  </si>
  <si>
    <t xml:space="preserve">Notifications and tasks</t>
  </si>
  <si>
    <t xml:space="preserve">Cross-module</t>
  </si>
  <si>
    <t xml:space="preserve">Assign a task → recipient is notified → complete it → the loop closes on the dashboard.</t>
  </si>
  <si>
    <t xml:space="preserve">B02</t>
  </si>
  <si>
    <t xml:space="preserve">Merge duplicate patients</t>
  </si>
  <si>
    <t xml:space="preserve">Identify duplicates → compare records → merge → verify history survived the merge.</t>
  </si>
  <si>
    <t xml:space="preserve">B03</t>
  </si>
  <si>
    <t xml:space="preserve">Patient history and health metric trends</t>
  </si>
  <si>
    <t xml:space="preserve">Patients ▸ Patient History</t>
  </si>
  <si>
    <t xml:space="preserve">Open history → health metrics over time → chart a vital → spot a trend across visits.</t>
  </si>
  <si>
    <t xml:space="preserve">B04</t>
  </si>
  <si>
    <t xml:space="preserve">CRM and campaigns</t>
  </si>
  <si>
    <t xml:space="preserve">Growth ▸ CRM</t>
  </si>
  <si>
    <t xml:space="preserve">Lead capture → CRM pipeline → build a campaign → send → measure response.</t>
  </si>
  <si>
    <t xml:space="preserve">B05</t>
  </si>
  <si>
    <t xml:space="preserve">Working in another language</t>
  </si>
  <si>
    <t xml:space="preserve">App shell</t>
  </si>
  <si>
    <t xml:space="preserve">Switch language (en/es/fr/de/ar) → translated UI → right-to-left layout in Arabic.</t>
  </si>
  <si>
    <t xml:space="preserve">B06</t>
  </si>
  <si>
    <t xml:space="preserve">Recurring appointments</t>
  </si>
  <si>
    <t xml:space="preserve">Create a recurring series → edit one occurrence vs the series → cancel the series.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</si>
</sst>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"/>
    <numFmt numFmtId="168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7490"/>
        <bgColor rgb="FF008080"/>
      </patternFill>
    </fill>
    <fill>
      <patternFill patternType="solid">
        <fgColor rgb="FF0F172A"/>
        <bgColor rgb="FF000000"/>
      </patternFill>
    </fill>
    <fill>
      <patternFill patternType="solid">
        <fgColor rgb="FFFFF9C4"/>
        <bgColor rgb="FFFDE9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ont>
        <name val="Arial"/>
        <charset val="1"/>
        <family val="0"/>
        <b val="1"/>
        <color rgb="FF14532D"/>
        <sz val="10"/>
      </font>
      <fill>
        <patternFill>
          <bgColor rgb="FFC7F0D8"/>
        </patternFill>
      </fill>
    </dxf>
    <dxf>
      <fill>
        <patternFill>
          <bgColor rgb="FFFDE9C7"/>
        </patternFill>
      </fill>
    </dxf>
    <dxf>
      <font>
        <name val="Arial"/>
        <charset val="1"/>
        <family val="0"/>
        <b val="1"/>
        <color rgb="FF991B1B"/>
        <sz val="10"/>
      </font>
      <fill>
        <patternFill>
          <bgColor rgb="FFFBD5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7F0D8"/>
      <rgbColor rgb="FFFDE9C7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4532D"/>
      <rgbColor rgb="FF339966"/>
      <rgbColor rgb="FF0F172A"/>
      <rgbColor rgb="FF333300"/>
      <rgbColor rgb="FF991B1B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96"/>
  </cols>
  <sheetData>
    <row r="2" customFormat="false" ht="25.5" hidden="false" customHeight="true" outlineLevel="0" collapsed="false">
      <c r="B2" s="2" t="s">
        <v>0</v>
      </c>
      <c r="C2" s="2"/>
    </row>
    <row r="5" customFormat="false" ht="39.75" hidden="false" customHeight="true" outlineLevel="0" collapsed="false">
      <c r="B5" s="3" t="s">
        <v>1</v>
      </c>
      <c r="C5" s="4" t="s">
        <v>2</v>
      </c>
    </row>
    <row r="6" customFormat="false" ht="27.75" hidden="false" customHeight="true" outlineLevel="0" collapsed="false">
      <c r="B6" s="3" t="s">
        <v>3</v>
      </c>
      <c r="C6" s="4" t="s">
        <v>4</v>
      </c>
    </row>
    <row r="7" customFormat="false" ht="27.75" hidden="false" customHeight="true" outlineLevel="0" collapsed="false">
      <c r="B7" s="3" t="s">
        <v>5</v>
      </c>
      <c r="C7" s="4" t="s">
        <v>6</v>
      </c>
    </row>
    <row r="9" customFormat="false" ht="39.75" hidden="false" customHeight="true" outlineLevel="0" collapsed="false">
      <c r="B9" s="3" t="s">
        <v>7</v>
      </c>
      <c r="C9" s="4" t="s">
        <v>8</v>
      </c>
    </row>
    <row r="10" customFormat="false" ht="15.75" hidden="false" customHeight="true" outlineLevel="0" collapsed="false">
      <c r="B10" s="3" t="s">
        <v>9</v>
      </c>
      <c r="C10" s="4" t="s">
        <v>10</v>
      </c>
    </row>
    <row r="11" customFormat="false" ht="27.75" hidden="false" customHeight="true" outlineLevel="0" collapsed="false">
      <c r="B11" s="3" t="s">
        <v>11</v>
      </c>
      <c r="C11" s="4" t="s">
        <v>12</v>
      </c>
    </row>
    <row r="13" customFormat="false" ht="39.75" hidden="false" customHeight="true" outlineLevel="0" collapsed="false">
      <c r="B13" s="3" t="s">
        <v>13</v>
      </c>
      <c r="C13" s="4" t="s">
        <v>14</v>
      </c>
    </row>
    <row r="15" customFormat="false" ht="39.75" hidden="false" customHeight="true" outlineLevel="0" collapsed="false">
      <c r="B15" s="3" t="s">
        <v>15</v>
      </c>
      <c r="C15" s="4" t="s">
        <v>16</v>
      </c>
    </row>
    <row r="17" customFormat="false" ht="39.75" hidden="false" customHeight="true" outlineLevel="0" collapsed="false">
      <c r="B17" s="3" t="s">
        <v>17</v>
      </c>
      <c r="C17" s="4" t="s">
        <v>18</v>
      </c>
    </row>
    <row r="18" customFormat="false" ht="27.75" hidden="false" customHeight="true" outlineLevel="0" collapsed="false">
      <c r="B18" s="3" t="s">
        <v>19</v>
      </c>
      <c r="C18" s="4" t="s">
        <v>20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5" min="3" style="1" width="12"/>
    <col collapsed="false" customWidth="true" hidden="false" outlineLevel="0" max="7" min="6" style="1" width="14"/>
  </cols>
  <sheetData>
    <row r="2" customFormat="false" ht="25.5" hidden="false" customHeight="true" outlineLevel="0" collapsed="false">
      <c r="B2" s="2" t="s">
        <v>21</v>
      </c>
      <c r="C2" s="2"/>
      <c r="D2" s="2"/>
      <c r="E2" s="2"/>
      <c r="F2" s="2"/>
      <c r="G2" s="2"/>
    </row>
    <row r="4" customFormat="false" ht="19.5" hidden="false" customHeight="true" outlineLevel="0" collapsed="false">
      <c r="B4" s="5" t="s">
        <v>22</v>
      </c>
      <c r="C4" s="5"/>
      <c r="D4" s="5"/>
      <c r="E4" s="5"/>
      <c r="F4" s="5"/>
      <c r="G4" s="5"/>
    </row>
    <row r="5" customFormat="false" ht="15" hidden="false" customHeight="true" outlineLevel="0" collapsed="false">
      <c r="B5" s="6" t="s">
        <v>23</v>
      </c>
      <c r="C5" s="7" t="n">
        <f aca="false">COUNTA('Video Tracker'!$A$3:$A$41)</f>
        <v>39</v>
      </c>
    </row>
    <row r="6" customFormat="false" ht="15" hidden="false" customHeight="true" outlineLevel="0" collapsed="false">
      <c r="B6" s="6" t="s">
        <v>24</v>
      </c>
      <c r="C6" s="7" t="n">
        <f aca="false">COUNTIF('Video Tracker'!$B$3:$B$41,"&lt;&gt;Prep")</f>
        <v>38</v>
      </c>
    </row>
    <row r="7" customFormat="false" ht="15" hidden="false" customHeight="true" outlineLevel="0" collapsed="false">
      <c r="B7" s="6" t="s">
        <v>25</v>
      </c>
      <c r="C7" s="7" t="n">
        <f aca="false">COUNTIF('Video Tracker'!$K$3:$K$41,"Published")</f>
        <v>0</v>
      </c>
    </row>
    <row r="8" customFormat="false" ht="15" hidden="false" customHeight="true" outlineLevel="0" collapsed="false">
      <c r="B8" s="6" t="s">
        <v>26</v>
      </c>
      <c r="C8" s="7" t="n">
        <f aca="false">COUNTA('Video Tracker'!$A$3:$A$41)-COUNTIF('Video Tracker'!$K$3:$K$41,"Not started")-COUNTIF('Video Tracker'!$K$3:$K$41,"Published")-COUNTIF('Video Tracker'!$K$3:$K$41,"On hold")</f>
        <v>10</v>
      </c>
    </row>
    <row r="9" customFormat="false" ht="15" hidden="false" customHeight="true" outlineLevel="0" collapsed="false">
      <c r="B9" s="6" t="s">
        <v>27</v>
      </c>
      <c r="C9" s="7" t="n">
        <f aca="false">COUNTIF('Video Tracker'!$K$3:$K$41,"Not started")</f>
        <v>29</v>
      </c>
    </row>
    <row r="10" customFormat="false" ht="15" hidden="false" customHeight="true" outlineLevel="0" collapsed="false">
      <c r="B10" s="6" t="s">
        <v>28</v>
      </c>
      <c r="C10" s="8" t="n">
        <f aca="false">IFERROR(AVERAGE('Video Tracker'!$P$3:$P$41),0)</f>
        <v>0.192307692307692</v>
      </c>
    </row>
    <row r="11" customFormat="false" ht="15" hidden="false" customHeight="true" outlineLevel="0" collapsed="false">
      <c r="B11" s="6" t="s">
        <v>29</v>
      </c>
      <c r="C11" s="9" t="n">
        <f aca="false">SUM('Video Tracker'!$G$3:$G$41)</f>
        <v>73.4</v>
      </c>
    </row>
    <row r="12" customFormat="false" ht="15" hidden="false" customHeight="true" outlineLevel="0" collapsed="false">
      <c r="B12" s="6" t="s">
        <v>30</v>
      </c>
      <c r="C12" s="9" t="n">
        <f aca="false">SUMIF('Video Tracker'!$K$3:$K$41,"Published",'Video Tracker'!$G$3:$G$41)</f>
        <v>0</v>
      </c>
    </row>
    <row r="14" customFormat="false" ht="19.5" hidden="false" customHeight="true" outlineLevel="0" collapsed="false">
      <c r="B14" s="5" t="s">
        <v>31</v>
      </c>
      <c r="C14" s="5"/>
      <c r="D14" s="5"/>
      <c r="E14" s="5"/>
      <c r="F14" s="5"/>
      <c r="G14" s="5"/>
    </row>
    <row r="15" customFormat="false" ht="15" hidden="false" customHeight="true" outlineLevel="0" collapsed="false">
      <c r="B15" s="10" t="s">
        <v>32</v>
      </c>
      <c r="C15" s="10" t="s">
        <v>33</v>
      </c>
      <c r="D15" s="10" t="s">
        <v>25</v>
      </c>
      <c r="E15" s="10" t="s">
        <v>34</v>
      </c>
      <c r="F15" s="10" t="s">
        <v>35</v>
      </c>
    </row>
    <row r="16" customFormat="false" ht="15" hidden="false" customHeight="true" outlineLevel="0" collapsed="false">
      <c r="B16" s="11" t="s">
        <v>36</v>
      </c>
      <c r="C16" s="12" t="n">
        <f aca="false">COUNTIF('Video Tracker'!$B$3:$B$41,$B16)</f>
        <v>1</v>
      </c>
      <c r="D16" s="12" t="n">
        <f aca="false">COUNTIFS('Video Tracker'!$B$3:$B$41,$B16,'Video Tracker'!$K$3:$K$41,"Published")</f>
        <v>0</v>
      </c>
      <c r="E16" s="13" t="n">
        <f aca="false">IFERROR(AVERAGEIF('Video Tracker'!$B$3:$B$41,$B16,'Video Tracker'!$P$3:$P$41),0)</f>
        <v>0.75</v>
      </c>
      <c r="F16" s="14" t="n">
        <f aca="false">SUMIF('Video Tracker'!$B$3:$B$41,$B16,'Video Tracker'!$G$3:$G$41)</f>
        <v>0</v>
      </c>
    </row>
    <row r="17" customFormat="false" ht="15" hidden="false" customHeight="true" outlineLevel="0" collapsed="false">
      <c r="B17" s="11" t="s">
        <v>37</v>
      </c>
      <c r="C17" s="12" t="n">
        <f aca="false">COUNTIF('Video Tracker'!$B$3:$B$41,$B17)</f>
        <v>8</v>
      </c>
      <c r="D17" s="12" t="n">
        <f aca="false">COUNTIFS('Video Tracker'!$B$3:$B$41,$B17,'Video Tracker'!$K$3:$K$41,"Published")</f>
        <v>0</v>
      </c>
      <c r="E17" s="13" t="n">
        <f aca="false">IFERROR(AVERAGEIF('Video Tracker'!$B$3:$B$41,$B17,'Video Tracker'!$P$3:$P$41),0)</f>
        <v>0.75</v>
      </c>
      <c r="F17" s="14" t="n">
        <f aca="false">SUMIF('Video Tracker'!$B$3:$B$41,$B17,'Video Tracker'!$G$3:$G$41)</f>
        <v>13.5</v>
      </c>
    </row>
    <row r="18" customFormat="false" ht="15" hidden="false" customHeight="true" outlineLevel="0" collapsed="false">
      <c r="B18" s="11" t="s">
        <v>38</v>
      </c>
      <c r="C18" s="12" t="n">
        <f aca="false">COUNTIF('Video Tracker'!$B$3:$B$41,$B18)</f>
        <v>8</v>
      </c>
      <c r="D18" s="12" t="n">
        <f aca="false">COUNTIFS('Video Tracker'!$B$3:$B$41,$B18,'Video Tracker'!$K$3:$K$41,"Published")</f>
        <v>0</v>
      </c>
      <c r="E18" s="13" t="n">
        <f aca="false">IFERROR(AVERAGEIF('Video Tracker'!$B$3:$B$41,$B18,'Video Tracker'!$P$3:$P$41),0)</f>
        <v>0.09375</v>
      </c>
      <c r="F18" s="14" t="n">
        <f aca="false">SUMIF('Video Tracker'!$B$3:$B$41,$B18,'Video Tracker'!$G$3:$G$41)</f>
        <v>20.4</v>
      </c>
    </row>
    <row r="19" customFormat="false" ht="15" hidden="false" customHeight="true" outlineLevel="0" collapsed="false">
      <c r="B19" s="11" t="s">
        <v>39</v>
      </c>
      <c r="C19" s="12" t="n">
        <f aca="false">COUNTIF('Video Tracker'!$B$3:$B$41,$B19)</f>
        <v>7</v>
      </c>
      <c r="D19" s="12" t="n">
        <f aca="false">COUNTIFS('Video Tracker'!$B$3:$B$41,$B19,'Video Tracker'!$K$3:$K$41,"Published")</f>
        <v>0</v>
      </c>
      <c r="E19" s="13" t="n">
        <f aca="false">IFERROR(AVERAGEIF('Video Tracker'!$B$3:$B$41,$B19,'Video Tracker'!$P$3:$P$41),0)</f>
        <v>0</v>
      </c>
      <c r="F19" s="14" t="n">
        <f aca="false">SUMIF('Video Tracker'!$B$3:$B$41,$B19,'Video Tracker'!$G$3:$G$41)</f>
        <v>13</v>
      </c>
    </row>
    <row r="20" customFormat="false" ht="15" hidden="false" customHeight="true" outlineLevel="0" collapsed="false">
      <c r="B20" s="11" t="s">
        <v>40</v>
      </c>
      <c r="C20" s="12" t="n">
        <f aca="false">COUNTIF('Video Tracker'!$B$3:$B$41,$B20)</f>
        <v>9</v>
      </c>
      <c r="D20" s="12" t="n">
        <f aca="false">COUNTIFS('Video Tracker'!$B$3:$B$41,$B20,'Video Tracker'!$K$3:$K$41,"Published")</f>
        <v>0</v>
      </c>
      <c r="E20" s="13" t="n">
        <f aca="false">IFERROR(AVERAGEIF('Video Tracker'!$B$3:$B$41,$B20,'Video Tracker'!$P$3:$P$41),0)</f>
        <v>0</v>
      </c>
      <c r="F20" s="14" t="n">
        <f aca="false">SUMIF('Video Tracker'!$B$3:$B$41,$B20,'Video Tracker'!$G$3:$G$41)</f>
        <v>17</v>
      </c>
    </row>
    <row r="21" customFormat="false" ht="15" hidden="false" customHeight="true" outlineLevel="0" collapsed="false">
      <c r="B21" s="11" t="s">
        <v>41</v>
      </c>
      <c r="C21" s="12" t="n">
        <f aca="false">COUNTIF('Video Tracker'!$B$3:$B$41,$B21)</f>
        <v>6</v>
      </c>
      <c r="D21" s="12" t="n">
        <f aca="false">COUNTIFS('Video Tracker'!$B$3:$B$41,$B21,'Video Tracker'!$K$3:$K$41,"Published")</f>
        <v>0</v>
      </c>
      <c r="E21" s="13" t="n">
        <f aca="false">IFERROR(AVERAGEIF('Video Tracker'!$B$3:$B$41,$B21,'Video Tracker'!$P$3:$P$41),0)</f>
        <v>0</v>
      </c>
      <c r="F21" s="14" t="n">
        <f aca="false">SUMIF('Video Tracker'!$B$3:$B$41,$B21,'Video Tracker'!$G$3:$G$41)</f>
        <v>9.5</v>
      </c>
    </row>
    <row r="23" customFormat="false" ht="19.5" hidden="false" customHeight="true" outlineLevel="0" collapsed="false">
      <c r="B23" s="5" t="s">
        <v>42</v>
      </c>
      <c r="C23" s="5"/>
      <c r="D23" s="5"/>
      <c r="E23" s="5"/>
      <c r="F23" s="5"/>
      <c r="G23" s="5"/>
    </row>
    <row r="24" customFormat="false" ht="15" hidden="false" customHeight="true" outlineLevel="0" collapsed="false">
      <c r="B24" s="10" t="s">
        <v>43</v>
      </c>
      <c r="C24" s="10" t="s">
        <v>44</v>
      </c>
      <c r="D24" s="10" t="s">
        <v>45</v>
      </c>
    </row>
    <row r="25" customFormat="false" ht="15" hidden="false" customHeight="true" outlineLevel="0" collapsed="false">
      <c r="B25" s="11" t="s">
        <v>27</v>
      </c>
      <c r="C25" s="12" t="n">
        <f aca="false">COUNTIF('Video Tracker'!$K$3:$K$41,$B25)</f>
        <v>29</v>
      </c>
      <c r="D25" s="13" t="n">
        <f aca="false">IFERROR(C25/COUNTA('Video Tracker'!$A$3:$A$41),0)</f>
        <v>0.743589743589744</v>
      </c>
    </row>
    <row r="26" customFormat="false" ht="15" hidden="false" customHeight="true" outlineLevel="0" collapsed="false">
      <c r="B26" s="11" t="s">
        <v>46</v>
      </c>
      <c r="C26" s="12" t="n">
        <f aca="false">COUNTIF('Video Tracker'!$K$3:$K$41,$B26)</f>
        <v>0</v>
      </c>
      <c r="D26" s="13" t="n">
        <f aca="false">IFERROR(C26/COUNTA('Video Tracker'!$A$3:$A$41),0)</f>
        <v>0</v>
      </c>
    </row>
    <row r="27" customFormat="false" ht="15" hidden="false" customHeight="true" outlineLevel="0" collapsed="false">
      <c r="B27" s="11" t="s">
        <v>47</v>
      </c>
      <c r="C27" s="12" t="n">
        <f aca="false">COUNTIF('Video Tracker'!$K$3:$K$41,$B27)</f>
        <v>0</v>
      </c>
      <c r="D27" s="13" t="n">
        <f aca="false">IFERROR(C27/COUNTA('Video Tracker'!$A$3:$A$41),0)</f>
        <v>0</v>
      </c>
    </row>
    <row r="28" customFormat="false" ht="15" hidden="false" customHeight="true" outlineLevel="0" collapsed="false">
      <c r="B28" s="11" t="s">
        <v>48</v>
      </c>
      <c r="C28" s="12" t="n">
        <f aca="false">COUNTIF('Video Tracker'!$K$3:$K$41,$B28)</f>
        <v>0</v>
      </c>
      <c r="D28" s="13" t="n">
        <f aca="false">IFERROR(C28/COUNTA('Video Tracker'!$A$3:$A$41),0)</f>
        <v>0</v>
      </c>
    </row>
    <row r="29" customFormat="false" ht="15" hidden="false" customHeight="true" outlineLevel="0" collapsed="false">
      <c r="B29" s="11" t="s">
        <v>49</v>
      </c>
      <c r="C29" s="12" t="n">
        <f aca="false">COUNTIF('Video Tracker'!$K$3:$K$41,$B29)</f>
        <v>10</v>
      </c>
      <c r="D29" s="13" t="n">
        <f aca="false">IFERROR(C29/COUNTA('Video Tracker'!$A$3:$A$41),0)</f>
        <v>0.256410256410256</v>
      </c>
    </row>
    <row r="30" customFormat="false" ht="15" hidden="false" customHeight="true" outlineLevel="0" collapsed="false">
      <c r="B30" s="11" t="s">
        <v>50</v>
      </c>
      <c r="C30" s="12" t="n">
        <f aca="false">COUNTIF('Video Tracker'!$K$3:$K$41,$B30)</f>
        <v>0</v>
      </c>
      <c r="D30" s="13" t="n">
        <f aca="false">IFERROR(C30/COUNTA('Video Tracker'!$A$3:$A$41),0)</f>
        <v>0</v>
      </c>
    </row>
    <row r="31" customFormat="false" ht="15" hidden="false" customHeight="true" outlineLevel="0" collapsed="false">
      <c r="B31" s="11" t="s">
        <v>25</v>
      </c>
      <c r="C31" s="12" t="n">
        <f aca="false">COUNTIF('Video Tracker'!$K$3:$K$41,$B31)</f>
        <v>0</v>
      </c>
      <c r="D31" s="13" t="n">
        <f aca="false">IFERROR(C31/COUNTA('Video Tracker'!$A$3:$A$41),0)</f>
        <v>0</v>
      </c>
    </row>
    <row r="32" customFormat="false" ht="15" hidden="false" customHeight="true" outlineLevel="0" collapsed="false">
      <c r="B32" s="11" t="s">
        <v>51</v>
      </c>
      <c r="C32" s="12" t="n">
        <f aca="false">COUNTIF('Video Tracker'!$K$3:$K$41,$B32)</f>
        <v>0</v>
      </c>
      <c r="D32" s="13" t="n">
        <f aca="false">IFERROR(C32/COUNTA('Video Tracker'!$A$3:$A$41),0)</f>
        <v>0</v>
      </c>
    </row>
    <row r="34" customFormat="false" ht="19.5" hidden="false" customHeight="true" outlineLevel="0" collapsed="false">
      <c r="B34" s="5" t="s">
        <v>52</v>
      </c>
      <c r="C34" s="5"/>
      <c r="D34" s="5"/>
      <c r="E34" s="5"/>
      <c r="F34" s="5"/>
      <c r="G34" s="5"/>
    </row>
    <row r="35" customFormat="false" ht="15" hidden="false" customHeight="true" outlineLevel="0" collapsed="false">
      <c r="B35" s="10" t="s">
        <v>53</v>
      </c>
      <c r="C35" s="10" t="s">
        <v>54</v>
      </c>
      <c r="D35" s="10" t="s">
        <v>55</v>
      </c>
      <c r="E35" s="10" t="s">
        <v>27</v>
      </c>
    </row>
    <row r="36" customFormat="false" ht="15" hidden="false" customHeight="true" outlineLevel="0" collapsed="false">
      <c r="B36" s="11" t="s">
        <v>56</v>
      </c>
      <c r="C36" s="12" t="n">
        <f aca="false">COUNTIF('Video Tracker'!$L$3:$L$41,"Yes")</f>
        <v>10</v>
      </c>
      <c r="D36" s="12" t="n">
        <f aca="false">COUNTIF('Video Tracker'!$L$3:$L$41,"In progress")</f>
        <v>0</v>
      </c>
      <c r="E36" s="12" t="n">
        <f aca="false">COUNTIF('Video Tracker'!$L$3:$L$41,"No")</f>
        <v>29</v>
      </c>
    </row>
    <row r="37" customFormat="false" ht="15" hidden="false" customHeight="true" outlineLevel="0" collapsed="false">
      <c r="B37" s="11" t="s">
        <v>57</v>
      </c>
      <c r="C37" s="12" t="n">
        <f aca="false">COUNTIF('Video Tracker'!$M$3:$M$41,"Yes")</f>
        <v>10</v>
      </c>
      <c r="D37" s="12" t="n">
        <f aca="false">COUNTIF('Video Tracker'!$M$3:$M$41,"In progress")</f>
        <v>0</v>
      </c>
      <c r="E37" s="12" t="n">
        <f aca="false">COUNTIF('Video Tracker'!$M$3:$M$41,"No")</f>
        <v>29</v>
      </c>
    </row>
    <row r="38" customFormat="false" ht="15" hidden="false" customHeight="true" outlineLevel="0" collapsed="false">
      <c r="B38" s="11" t="s">
        <v>58</v>
      </c>
      <c r="C38" s="12" t="n">
        <f aca="false">COUNTIF('Video Tracker'!$N$3:$N$41,"Yes")</f>
        <v>10</v>
      </c>
      <c r="D38" s="12" t="n">
        <f aca="false">COUNTIF('Video Tracker'!$N$3:$N$41,"In progress")</f>
        <v>0</v>
      </c>
      <c r="E38" s="12" t="n">
        <f aca="false">COUNTIF('Video Tracker'!$N$3:$N$41,"No")</f>
        <v>29</v>
      </c>
    </row>
    <row r="39" customFormat="false" ht="15" hidden="false" customHeight="true" outlineLevel="0" collapsed="false">
      <c r="B39" s="11" t="s">
        <v>59</v>
      </c>
      <c r="C39" s="12" t="n">
        <f aca="false">COUNTIF('Video Tracker'!$O$3:$O$41,"Yes")</f>
        <v>0</v>
      </c>
      <c r="D39" s="12" t="n">
        <f aca="false">COUNTIF('Video Tracker'!$O$3:$O$41,"In progress")</f>
        <v>0</v>
      </c>
      <c r="E39" s="12" t="n">
        <f aca="false">COUNTIF('Video Tracker'!$O$3:$O$41,"No")</f>
        <v>39</v>
      </c>
    </row>
    <row r="42" customFormat="false" ht="15" hidden="false" customHeight="true" outlineLevel="0" collapsed="false">
      <c r="B42" s="15" t="s">
        <v>60</v>
      </c>
    </row>
  </sheetData>
  <mergeCells count="5">
    <mergeCell ref="B2:G2"/>
    <mergeCell ref="B4:G4"/>
    <mergeCell ref="B14:G14"/>
    <mergeCell ref="B23:G2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1" width="18"/>
  </cols>
  <sheetData>
    <row r="1" customFormat="false" ht="15" hidden="false" customHeight="true" outlineLevel="0" collapsed="false">
      <c r="A1" s="10" t="s">
        <v>43</v>
      </c>
      <c r="B1" s="10" t="s">
        <v>61</v>
      </c>
      <c r="C1" s="10" t="s">
        <v>32</v>
      </c>
      <c r="D1" s="10" t="s">
        <v>62</v>
      </c>
      <c r="E1" s="10" t="s">
        <v>63</v>
      </c>
      <c r="G1" s="15" t="s">
        <v>64</v>
      </c>
    </row>
    <row r="2" customFormat="false" ht="15" hidden="false" customHeight="true" outlineLevel="0" collapsed="false">
      <c r="A2" s="16" t="s">
        <v>27</v>
      </c>
      <c r="B2" s="16" t="s">
        <v>65</v>
      </c>
      <c r="C2" s="16" t="s">
        <v>36</v>
      </c>
      <c r="D2" s="16" t="s">
        <v>66</v>
      </c>
      <c r="E2" s="16" t="s">
        <v>67</v>
      </c>
    </row>
    <row r="3" customFormat="false" ht="15" hidden="false" customHeight="true" outlineLevel="0" collapsed="false">
      <c r="A3" s="16" t="s">
        <v>46</v>
      </c>
      <c r="B3" s="16" t="s">
        <v>55</v>
      </c>
      <c r="C3" s="16" t="s">
        <v>37</v>
      </c>
      <c r="D3" s="16" t="s">
        <v>68</v>
      </c>
      <c r="E3" s="16" t="s">
        <v>69</v>
      </c>
    </row>
    <row r="4" customFormat="false" ht="15" hidden="false" customHeight="true" outlineLevel="0" collapsed="false">
      <c r="A4" s="16" t="s">
        <v>47</v>
      </c>
      <c r="B4" s="16" t="s">
        <v>70</v>
      </c>
      <c r="C4" s="16" t="s">
        <v>38</v>
      </c>
      <c r="D4" s="16" t="s">
        <v>71</v>
      </c>
      <c r="E4" s="16" t="s">
        <v>72</v>
      </c>
    </row>
    <row r="5" customFormat="false" ht="15" hidden="false" customHeight="true" outlineLevel="0" collapsed="false">
      <c r="A5" s="16" t="s">
        <v>48</v>
      </c>
      <c r="C5" s="16" t="s">
        <v>39</v>
      </c>
      <c r="D5" s="16" t="s">
        <v>73</v>
      </c>
      <c r="E5" s="16" t="s">
        <v>74</v>
      </c>
    </row>
    <row r="6" customFormat="false" ht="15" hidden="false" customHeight="true" outlineLevel="0" collapsed="false">
      <c r="A6" s="16" t="s">
        <v>49</v>
      </c>
      <c r="C6" s="16" t="s">
        <v>40</v>
      </c>
      <c r="D6" s="16" t="s">
        <v>75</v>
      </c>
      <c r="E6" s="16" t="s">
        <v>76</v>
      </c>
    </row>
    <row r="7" customFormat="false" ht="15" hidden="false" customHeight="true" outlineLevel="0" collapsed="false">
      <c r="A7" s="16" t="s">
        <v>50</v>
      </c>
      <c r="C7" s="16" t="s">
        <v>41</v>
      </c>
      <c r="E7" s="16" t="s">
        <v>77</v>
      </c>
    </row>
    <row r="8" customFormat="false" ht="15" hidden="false" customHeight="true" outlineLevel="0" collapsed="false">
      <c r="A8" s="16" t="s">
        <v>25</v>
      </c>
    </row>
    <row r="9" customFormat="false" ht="15" hidden="false" customHeight="true" outlineLevel="0" collapsed="false">
      <c r="A9" s="1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34"/>
    <col collapsed="false" customWidth="true" hidden="false" outlineLevel="0" max="5" min="5" style="1" width="30"/>
    <col collapsed="false" customWidth="true" hidden="false" outlineLevel="0" max="6" min="6" style="1" width="20"/>
    <col collapsed="false" customWidth="true" hidden="false" outlineLevel="0" max="7" min="7" style="1" width="9"/>
    <col collapsed="false" customWidth="true" hidden="false" outlineLevel="0" max="8" min="8" style="1" width="58"/>
    <col collapsed="false" customWidth="true" hidden="false" outlineLevel="0" max="9" min="9" style="1" width="42"/>
    <col collapsed="false" customWidth="true" hidden="false" outlineLevel="0" max="10" min="10" style="1" width="14"/>
    <col collapsed="false" customWidth="true" hidden="false" outlineLevel="0" max="11" min="11" style="1" width="13"/>
    <col collapsed="false" customWidth="true" hidden="false" outlineLevel="0" max="12" min="12" style="1" width="8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6" min="15" style="1" width="9"/>
    <col collapsed="false" customWidth="true" hidden="false" outlineLevel="0" max="17" min="17" style="1" width="11"/>
    <col collapsed="false" customWidth="true" hidden="false" outlineLevel="0" max="19" min="18" style="1" width="13"/>
    <col collapsed="false" customWidth="true" hidden="false" outlineLevel="0" max="20" min="20" style="1" width="11"/>
    <col collapsed="false" customWidth="true" hidden="false" outlineLevel="0" max="21" min="21" style="1" width="26"/>
    <col collapsed="false" customWidth="true" hidden="false" outlineLevel="0" max="22" min="22" style="1" width="30"/>
  </cols>
  <sheetData>
    <row r="1" customFormat="false" ht="25.5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30" hidden="false" customHeight="true" outlineLevel="0" collapsed="false">
      <c r="A2" s="10" t="s">
        <v>79</v>
      </c>
      <c r="B2" s="10" t="s">
        <v>32</v>
      </c>
      <c r="C2" s="10" t="s">
        <v>62</v>
      </c>
      <c r="D2" s="10" t="s">
        <v>80</v>
      </c>
      <c r="E2" s="10" t="s">
        <v>81</v>
      </c>
      <c r="F2" s="10" t="s">
        <v>82</v>
      </c>
      <c r="G2" s="10" t="s">
        <v>83</v>
      </c>
      <c r="H2" s="10" t="s">
        <v>84</v>
      </c>
      <c r="I2" s="10" t="s">
        <v>85</v>
      </c>
      <c r="J2" s="10" t="s">
        <v>63</v>
      </c>
      <c r="K2" s="10" t="s">
        <v>43</v>
      </c>
      <c r="L2" s="10" t="s">
        <v>86</v>
      </c>
      <c r="M2" s="10" t="s">
        <v>87</v>
      </c>
      <c r="N2" s="10" t="s">
        <v>88</v>
      </c>
      <c r="O2" s="10" t="s">
        <v>89</v>
      </c>
      <c r="P2" s="10" t="s">
        <v>9</v>
      </c>
      <c r="Q2" s="10" t="s">
        <v>90</v>
      </c>
      <c r="R2" s="10" t="s">
        <v>91</v>
      </c>
      <c r="S2" s="10" t="s">
        <v>92</v>
      </c>
      <c r="T2" s="10" t="s">
        <v>11</v>
      </c>
      <c r="U2" s="10" t="s">
        <v>93</v>
      </c>
      <c r="V2" s="10" t="s">
        <v>94</v>
      </c>
    </row>
    <row r="3" customFormat="false" ht="45.75" hidden="false" customHeight="true" outlineLevel="0" collapsed="false">
      <c r="A3" s="17" t="s">
        <v>95</v>
      </c>
      <c r="B3" s="17" t="s">
        <v>36</v>
      </c>
      <c r="C3" s="17" t="s">
        <v>66</v>
      </c>
      <c r="D3" s="18" t="s">
        <v>96</v>
      </c>
      <c r="E3" s="18" t="s">
        <v>97</v>
      </c>
      <c r="F3" s="18" t="s">
        <v>98</v>
      </c>
      <c r="G3" s="19"/>
      <c r="H3" s="18" t="s">
        <v>99</v>
      </c>
      <c r="I3" s="18" t="s">
        <v>100</v>
      </c>
      <c r="J3" s="20" t="s">
        <v>69</v>
      </c>
      <c r="K3" s="21" t="s">
        <v>49</v>
      </c>
      <c r="L3" s="21" t="s">
        <v>70</v>
      </c>
      <c r="M3" s="21" t="s">
        <v>70</v>
      </c>
      <c r="N3" s="21" t="s">
        <v>70</v>
      </c>
      <c r="O3" s="21" t="s">
        <v>65</v>
      </c>
      <c r="P3" s="22" t="n">
        <f aca="false">COUNTIF(L3:O3,"Yes")/4</f>
        <v>0.75</v>
      </c>
      <c r="Q3" s="23" t="n">
        <v>46235</v>
      </c>
      <c r="R3" s="23"/>
      <c r="S3" s="23"/>
      <c r="T3" s="24" t="str">
        <f aca="true">IF(S3&lt;&gt;"","",IF(R3="","",R3-TODAY()))</f>
        <v/>
      </c>
      <c r="U3" s="25"/>
      <c r="V3" s="25" t="s">
        <v>101</v>
      </c>
    </row>
    <row r="4" customFormat="false" ht="45.75" hidden="false" customHeight="true" outlineLevel="0" collapsed="false">
      <c r="A4" s="17" t="s">
        <v>102</v>
      </c>
      <c r="B4" s="17" t="s">
        <v>37</v>
      </c>
      <c r="C4" s="17" t="s">
        <v>66</v>
      </c>
      <c r="D4" s="18" t="s">
        <v>103</v>
      </c>
      <c r="E4" s="18" t="s">
        <v>104</v>
      </c>
      <c r="F4" s="18" t="s">
        <v>105</v>
      </c>
      <c r="G4" s="19" t="n">
        <v>1.5</v>
      </c>
      <c r="H4" s="18" t="s">
        <v>106</v>
      </c>
      <c r="I4" s="18" t="s">
        <v>107</v>
      </c>
      <c r="J4" s="20" t="s">
        <v>69</v>
      </c>
      <c r="K4" s="21" t="s">
        <v>49</v>
      </c>
      <c r="L4" s="21" t="s">
        <v>70</v>
      </c>
      <c r="M4" s="21" t="s">
        <v>70</v>
      </c>
      <c r="N4" s="21" t="s">
        <v>70</v>
      </c>
      <c r="O4" s="21" t="s">
        <v>65</v>
      </c>
      <c r="P4" s="22" t="n">
        <f aca="false">COUNTIF(L4:O4,"Yes")/4</f>
        <v>0.75</v>
      </c>
      <c r="Q4" s="23" t="n">
        <v>46235</v>
      </c>
      <c r="R4" s="23"/>
      <c r="S4" s="23"/>
      <c r="T4" s="24" t="str">
        <f aca="true">IF(S4&lt;&gt;"","",IF(R4="","",R4-TODAY()))</f>
        <v/>
      </c>
      <c r="U4" s="25"/>
      <c r="V4" s="25" t="s">
        <v>108</v>
      </c>
    </row>
    <row r="5" customFormat="false" ht="45.75" hidden="false" customHeight="true" outlineLevel="0" collapsed="false">
      <c r="A5" s="17" t="s">
        <v>109</v>
      </c>
      <c r="B5" s="17" t="s">
        <v>37</v>
      </c>
      <c r="C5" s="17" t="s">
        <v>66</v>
      </c>
      <c r="D5" s="18" t="s">
        <v>110</v>
      </c>
      <c r="E5" s="18" t="s">
        <v>111</v>
      </c>
      <c r="F5" s="18" t="s">
        <v>112</v>
      </c>
      <c r="G5" s="19" t="n">
        <v>1.5</v>
      </c>
      <c r="H5" s="18" t="s">
        <v>113</v>
      </c>
      <c r="I5" s="18" t="s">
        <v>114</v>
      </c>
      <c r="J5" s="20" t="s">
        <v>69</v>
      </c>
      <c r="K5" s="21" t="s">
        <v>49</v>
      </c>
      <c r="L5" s="21" t="s">
        <v>70</v>
      </c>
      <c r="M5" s="21" t="s">
        <v>70</v>
      </c>
      <c r="N5" s="21" t="s">
        <v>70</v>
      </c>
      <c r="O5" s="21" t="s">
        <v>65</v>
      </c>
      <c r="P5" s="22" t="n">
        <f aca="false">COUNTIF(L5:O5,"Yes")/4</f>
        <v>0.75</v>
      </c>
      <c r="Q5" s="23" t="n">
        <v>46235</v>
      </c>
      <c r="R5" s="23"/>
      <c r="S5" s="23"/>
      <c r="T5" s="24" t="str">
        <f aca="true">IF(S5&lt;&gt;"","",IF(R5="","",R5-TODAY()))</f>
        <v/>
      </c>
      <c r="U5" s="25"/>
      <c r="V5" s="25" t="s">
        <v>108</v>
      </c>
    </row>
    <row r="6" customFormat="false" ht="45.75" hidden="false" customHeight="true" outlineLevel="0" collapsed="false">
      <c r="A6" s="17" t="s">
        <v>115</v>
      </c>
      <c r="B6" s="17" t="s">
        <v>37</v>
      </c>
      <c r="C6" s="17" t="s">
        <v>66</v>
      </c>
      <c r="D6" s="18" t="s">
        <v>116</v>
      </c>
      <c r="E6" s="18" t="s">
        <v>117</v>
      </c>
      <c r="F6" s="18" t="s">
        <v>112</v>
      </c>
      <c r="G6" s="19" t="n">
        <v>2</v>
      </c>
      <c r="H6" s="18" t="s">
        <v>118</v>
      </c>
      <c r="I6" s="18" t="s">
        <v>119</v>
      </c>
      <c r="J6" s="20" t="s">
        <v>69</v>
      </c>
      <c r="K6" s="21" t="s">
        <v>49</v>
      </c>
      <c r="L6" s="21" t="s">
        <v>70</v>
      </c>
      <c r="M6" s="21" t="s">
        <v>70</v>
      </c>
      <c r="N6" s="21" t="s">
        <v>70</v>
      </c>
      <c r="O6" s="21" t="s">
        <v>65</v>
      </c>
      <c r="P6" s="22" t="n">
        <f aca="false">COUNTIF(L6:O6,"Yes")/4</f>
        <v>0.75</v>
      </c>
      <c r="Q6" s="23" t="n">
        <v>46235</v>
      </c>
      <c r="R6" s="23"/>
      <c r="S6" s="23"/>
      <c r="T6" s="24" t="str">
        <f aca="true">IF(S6&lt;&gt;"","",IF(R6="","",R6-TODAY()))</f>
        <v/>
      </c>
      <c r="U6" s="25"/>
      <c r="V6" s="25" t="s">
        <v>108</v>
      </c>
    </row>
    <row r="7" customFormat="false" ht="45.75" hidden="false" customHeight="true" outlineLevel="0" collapsed="false">
      <c r="A7" s="17" t="s">
        <v>120</v>
      </c>
      <c r="B7" s="17" t="s">
        <v>37</v>
      </c>
      <c r="C7" s="17" t="s">
        <v>66</v>
      </c>
      <c r="D7" s="18" t="s">
        <v>121</v>
      </c>
      <c r="E7" s="18" t="s">
        <v>122</v>
      </c>
      <c r="F7" s="18" t="s">
        <v>105</v>
      </c>
      <c r="G7" s="19" t="n">
        <v>1</v>
      </c>
      <c r="H7" s="18" t="s">
        <v>123</v>
      </c>
      <c r="I7" s="18" t="s">
        <v>124</v>
      </c>
      <c r="J7" s="20" t="s">
        <v>69</v>
      </c>
      <c r="K7" s="21" t="s">
        <v>49</v>
      </c>
      <c r="L7" s="21" t="s">
        <v>70</v>
      </c>
      <c r="M7" s="21" t="s">
        <v>70</v>
      </c>
      <c r="N7" s="21" t="s">
        <v>70</v>
      </c>
      <c r="O7" s="21" t="s">
        <v>65</v>
      </c>
      <c r="P7" s="22" t="n">
        <f aca="false">COUNTIF(L7:O7,"Yes")/4</f>
        <v>0.75</v>
      </c>
      <c r="Q7" s="23" t="n">
        <v>46235</v>
      </c>
      <c r="R7" s="23"/>
      <c r="S7" s="23"/>
      <c r="T7" s="24" t="str">
        <f aca="true">IF(S7&lt;&gt;"","",IF(R7="","",R7-TODAY()))</f>
        <v/>
      </c>
      <c r="U7" s="25"/>
      <c r="V7" s="25" t="s">
        <v>108</v>
      </c>
    </row>
    <row r="8" customFormat="false" ht="45.75" hidden="false" customHeight="true" outlineLevel="0" collapsed="false">
      <c r="A8" s="17" t="s">
        <v>125</v>
      </c>
      <c r="B8" s="17" t="s">
        <v>37</v>
      </c>
      <c r="C8" s="17" t="s">
        <v>66</v>
      </c>
      <c r="D8" s="18" t="s">
        <v>126</v>
      </c>
      <c r="E8" s="18" t="s">
        <v>111</v>
      </c>
      <c r="F8" s="18" t="s">
        <v>127</v>
      </c>
      <c r="G8" s="19" t="n">
        <v>2</v>
      </c>
      <c r="H8" s="18" t="s">
        <v>128</v>
      </c>
      <c r="I8" s="18" t="s">
        <v>129</v>
      </c>
      <c r="J8" s="20" t="s">
        <v>69</v>
      </c>
      <c r="K8" s="21" t="s">
        <v>49</v>
      </c>
      <c r="L8" s="21" t="s">
        <v>70</v>
      </c>
      <c r="M8" s="21" t="s">
        <v>70</v>
      </c>
      <c r="N8" s="21" t="s">
        <v>70</v>
      </c>
      <c r="O8" s="21" t="s">
        <v>65</v>
      </c>
      <c r="P8" s="22" t="n">
        <f aca="false">COUNTIF(L8:O8,"Yes")/4</f>
        <v>0.75</v>
      </c>
      <c r="Q8" s="23" t="n">
        <v>46235</v>
      </c>
      <c r="R8" s="23"/>
      <c r="S8" s="23"/>
      <c r="T8" s="24" t="str">
        <f aca="true">IF(S8&lt;&gt;"","",IF(R8="","",R8-TODAY()))</f>
        <v/>
      </c>
      <c r="U8" s="25"/>
      <c r="V8" s="25" t="s">
        <v>108</v>
      </c>
    </row>
    <row r="9" customFormat="false" ht="45.75" hidden="false" customHeight="true" outlineLevel="0" collapsed="false">
      <c r="A9" s="17" t="s">
        <v>130</v>
      </c>
      <c r="B9" s="17" t="s">
        <v>37</v>
      </c>
      <c r="C9" s="17" t="s">
        <v>66</v>
      </c>
      <c r="D9" s="18" t="s">
        <v>131</v>
      </c>
      <c r="E9" s="18" t="s">
        <v>132</v>
      </c>
      <c r="F9" s="18" t="s">
        <v>127</v>
      </c>
      <c r="G9" s="19" t="n">
        <v>2</v>
      </c>
      <c r="H9" s="18" t="s">
        <v>133</v>
      </c>
      <c r="I9" s="18" t="s">
        <v>134</v>
      </c>
      <c r="J9" s="20" t="s">
        <v>69</v>
      </c>
      <c r="K9" s="21" t="s">
        <v>49</v>
      </c>
      <c r="L9" s="21" t="s">
        <v>70</v>
      </c>
      <c r="M9" s="21" t="s">
        <v>70</v>
      </c>
      <c r="N9" s="21" t="s">
        <v>70</v>
      </c>
      <c r="O9" s="21" t="s">
        <v>65</v>
      </c>
      <c r="P9" s="22" t="n">
        <f aca="false">COUNTIF(L9:O9,"Yes")/4</f>
        <v>0.75</v>
      </c>
      <c r="Q9" s="23" t="n">
        <v>46235</v>
      </c>
      <c r="R9" s="23"/>
      <c r="S9" s="23"/>
      <c r="T9" s="24" t="str">
        <f aca="true">IF(S9&lt;&gt;"","",IF(R9="","",R9-TODAY()))</f>
        <v/>
      </c>
      <c r="U9" s="25"/>
      <c r="V9" s="25" t="s">
        <v>108</v>
      </c>
    </row>
    <row r="10" customFormat="false" ht="45.75" hidden="false" customHeight="true" outlineLevel="0" collapsed="false">
      <c r="A10" s="17" t="s">
        <v>135</v>
      </c>
      <c r="B10" s="17" t="s">
        <v>37</v>
      </c>
      <c r="C10" s="17" t="s">
        <v>66</v>
      </c>
      <c r="D10" s="18" t="s">
        <v>136</v>
      </c>
      <c r="E10" s="18" t="s">
        <v>137</v>
      </c>
      <c r="F10" s="18" t="s">
        <v>138</v>
      </c>
      <c r="G10" s="19" t="n">
        <v>2</v>
      </c>
      <c r="H10" s="18" t="s">
        <v>139</v>
      </c>
      <c r="I10" s="18" t="s">
        <v>140</v>
      </c>
      <c r="J10" s="20" t="s">
        <v>69</v>
      </c>
      <c r="K10" s="21" t="s">
        <v>49</v>
      </c>
      <c r="L10" s="21" t="s">
        <v>70</v>
      </c>
      <c r="M10" s="21" t="s">
        <v>70</v>
      </c>
      <c r="N10" s="21" t="s">
        <v>70</v>
      </c>
      <c r="O10" s="21" t="s">
        <v>65</v>
      </c>
      <c r="P10" s="22" t="n">
        <f aca="false">COUNTIF(L10:O10,"Yes")/4</f>
        <v>0.75</v>
      </c>
      <c r="Q10" s="23" t="n">
        <v>46235</v>
      </c>
      <c r="R10" s="23"/>
      <c r="S10" s="23"/>
      <c r="T10" s="24" t="str">
        <f aca="true">IF(S10&lt;&gt;"","",IF(R10="","",R10-TODAY()))</f>
        <v/>
      </c>
      <c r="U10" s="25"/>
      <c r="V10" s="25" t="s">
        <v>108</v>
      </c>
    </row>
    <row r="11" customFormat="false" ht="45.75" hidden="false" customHeight="true" outlineLevel="0" collapsed="false">
      <c r="A11" s="17" t="s">
        <v>141</v>
      </c>
      <c r="B11" s="17" t="s">
        <v>37</v>
      </c>
      <c r="C11" s="17" t="s">
        <v>66</v>
      </c>
      <c r="D11" s="18" t="s">
        <v>142</v>
      </c>
      <c r="E11" s="18" t="s">
        <v>143</v>
      </c>
      <c r="F11" s="18" t="s">
        <v>144</v>
      </c>
      <c r="G11" s="19" t="n">
        <v>1.5</v>
      </c>
      <c r="H11" s="18" t="s">
        <v>145</v>
      </c>
      <c r="I11" s="18" t="s">
        <v>146</v>
      </c>
      <c r="J11" s="20" t="s">
        <v>69</v>
      </c>
      <c r="K11" s="21" t="s">
        <v>49</v>
      </c>
      <c r="L11" s="21" t="s">
        <v>70</v>
      </c>
      <c r="M11" s="21" t="s">
        <v>70</v>
      </c>
      <c r="N11" s="21" t="s">
        <v>70</v>
      </c>
      <c r="O11" s="21" t="s">
        <v>65</v>
      </c>
      <c r="P11" s="22" t="n">
        <f aca="false">COUNTIF(L11:O11,"Yes")/4</f>
        <v>0.75</v>
      </c>
      <c r="Q11" s="23" t="n">
        <v>46235</v>
      </c>
      <c r="R11" s="23"/>
      <c r="S11" s="23"/>
      <c r="T11" s="24" t="str">
        <f aca="true">IF(S11&lt;&gt;"","",IF(R11="","",R11-TODAY()))</f>
        <v/>
      </c>
      <c r="U11" s="25"/>
      <c r="V11" s="25" t="s">
        <v>108</v>
      </c>
    </row>
    <row r="12" customFormat="false" ht="45.75" hidden="false" customHeight="true" outlineLevel="0" collapsed="false">
      <c r="A12" s="17" t="s">
        <v>147</v>
      </c>
      <c r="B12" s="17" t="s">
        <v>38</v>
      </c>
      <c r="C12" s="17" t="s">
        <v>68</v>
      </c>
      <c r="D12" s="18" t="s">
        <v>148</v>
      </c>
      <c r="E12" s="18" t="s">
        <v>149</v>
      </c>
      <c r="F12" s="18" t="s">
        <v>138</v>
      </c>
      <c r="G12" s="19" t="n">
        <v>2.5</v>
      </c>
      <c r="H12" s="18" t="s">
        <v>150</v>
      </c>
      <c r="I12" s="18" t="s">
        <v>151</v>
      </c>
      <c r="J12" s="20" t="s">
        <v>67</v>
      </c>
      <c r="K12" s="21" t="s">
        <v>27</v>
      </c>
      <c r="L12" s="21" t="s">
        <v>65</v>
      </c>
      <c r="M12" s="21" t="s">
        <v>65</v>
      </c>
      <c r="N12" s="21" t="s">
        <v>65</v>
      </c>
      <c r="O12" s="21" t="s">
        <v>65</v>
      </c>
      <c r="P12" s="22" t="n">
        <f aca="false">COUNTIF(L12:O12,"Yes")/4</f>
        <v>0</v>
      </c>
      <c r="Q12" s="23"/>
      <c r="R12" s="23"/>
      <c r="S12" s="23"/>
      <c r="T12" s="24" t="str">
        <f aca="true">IF(S12&lt;&gt;"","",IF(R12="","",R12-TODAY()))</f>
        <v/>
      </c>
      <c r="U12" s="25"/>
      <c r="V12" s="25" t="s">
        <v>152</v>
      </c>
    </row>
    <row r="13" customFormat="false" ht="45.75" hidden="false" customHeight="true" outlineLevel="0" collapsed="false">
      <c r="A13" s="17" t="s">
        <v>153</v>
      </c>
      <c r="B13" s="17" t="s">
        <v>38</v>
      </c>
      <c r="C13" s="17" t="s">
        <v>68</v>
      </c>
      <c r="D13" s="18" t="s">
        <v>154</v>
      </c>
      <c r="E13" s="18" t="s">
        <v>155</v>
      </c>
      <c r="F13" s="18" t="s">
        <v>138</v>
      </c>
      <c r="G13" s="19" t="n">
        <v>2.7</v>
      </c>
      <c r="H13" s="18" t="s">
        <v>156</v>
      </c>
      <c r="I13" s="18" t="s">
        <v>157</v>
      </c>
      <c r="J13" s="20" t="s">
        <v>67</v>
      </c>
      <c r="K13" s="21" t="s">
        <v>27</v>
      </c>
      <c r="L13" s="21" t="s">
        <v>65</v>
      </c>
      <c r="M13" s="21" t="s">
        <v>65</v>
      </c>
      <c r="N13" s="21" t="s">
        <v>65</v>
      </c>
      <c r="O13" s="21" t="s">
        <v>65</v>
      </c>
      <c r="P13" s="22" t="n">
        <f aca="false">COUNTIF(L13:O13,"Yes")/4</f>
        <v>0</v>
      </c>
      <c r="Q13" s="23"/>
      <c r="R13" s="23"/>
      <c r="S13" s="23"/>
      <c r="T13" s="24" t="str">
        <f aca="true">IF(S13&lt;&gt;"","",IF(R13="","",R13-TODAY()))</f>
        <v/>
      </c>
      <c r="U13" s="25"/>
      <c r="V13" s="25" t="s">
        <v>152</v>
      </c>
    </row>
    <row r="14" customFormat="false" ht="45.75" hidden="false" customHeight="true" outlineLevel="0" collapsed="false">
      <c r="A14" s="17" t="s">
        <v>158</v>
      </c>
      <c r="B14" s="17" t="s">
        <v>38</v>
      </c>
      <c r="C14" s="17" t="s">
        <v>68</v>
      </c>
      <c r="D14" s="18" t="s">
        <v>159</v>
      </c>
      <c r="E14" s="18" t="s">
        <v>160</v>
      </c>
      <c r="F14" s="18" t="s">
        <v>138</v>
      </c>
      <c r="G14" s="19" t="n">
        <v>2.9</v>
      </c>
      <c r="H14" s="18" t="s">
        <v>161</v>
      </c>
      <c r="I14" s="18" t="s">
        <v>162</v>
      </c>
      <c r="J14" s="20" t="s">
        <v>67</v>
      </c>
      <c r="K14" s="21" t="s">
        <v>27</v>
      </c>
      <c r="L14" s="21" t="s">
        <v>65</v>
      </c>
      <c r="M14" s="21" t="s">
        <v>65</v>
      </c>
      <c r="N14" s="21" t="s">
        <v>65</v>
      </c>
      <c r="O14" s="21" t="s">
        <v>65</v>
      </c>
      <c r="P14" s="22" t="n">
        <f aca="false">COUNTIF(L14:O14,"Yes")/4</f>
        <v>0</v>
      </c>
      <c r="Q14" s="23"/>
      <c r="R14" s="23"/>
      <c r="S14" s="23"/>
      <c r="T14" s="24" t="str">
        <f aca="true">IF(S14&lt;&gt;"","",IF(R14="","",R14-TODAY()))</f>
        <v/>
      </c>
      <c r="U14" s="25"/>
      <c r="V14" s="25" t="s">
        <v>152</v>
      </c>
    </row>
    <row r="15" customFormat="false" ht="45.75" hidden="false" customHeight="true" outlineLevel="0" collapsed="false">
      <c r="A15" s="17" t="s">
        <v>163</v>
      </c>
      <c r="B15" s="17" t="s">
        <v>38</v>
      </c>
      <c r="C15" s="17" t="s">
        <v>68</v>
      </c>
      <c r="D15" s="18" t="s">
        <v>164</v>
      </c>
      <c r="E15" s="18" t="s">
        <v>165</v>
      </c>
      <c r="F15" s="18" t="s">
        <v>166</v>
      </c>
      <c r="G15" s="19" t="n">
        <v>2.3</v>
      </c>
      <c r="H15" s="18" t="s">
        <v>167</v>
      </c>
      <c r="I15" s="18" t="s">
        <v>168</v>
      </c>
      <c r="J15" s="20" t="s">
        <v>67</v>
      </c>
      <c r="K15" s="21" t="s">
        <v>27</v>
      </c>
      <c r="L15" s="21" t="s">
        <v>65</v>
      </c>
      <c r="M15" s="21" t="s">
        <v>65</v>
      </c>
      <c r="N15" s="21" t="s">
        <v>65</v>
      </c>
      <c r="O15" s="21" t="s">
        <v>65</v>
      </c>
      <c r="P15" s="22" t="n">
        <f aca="false">COUNTIF(L15:O15,"Yes")/4</f>
        <v>0</v>
      </c>
      <c r="Q15" s="23"/>
      <c r="R15" s="23"/>
      <c r="S15" s="23"/>
      <c r="T15" s="24" t="str">
        <f aca="true">IF(S15&lt;&gt;"","",IF(R15="","",R15-TODAY()))</f>
        <v/>
      </c>
      <c r="U15" s="25"/>
      <c r="V15" s="25" t="s">
        <v>152</v>
      </c>
    </row>
    <row r="16" customFormat="false" ht="45.75" hidden="false" customHeight="true" outlineLevel="0" collapsed="false">
      <c r="A16" s="17" t="s">
        <v>169</v>
      </c>
      <c r="B16" s="17" t="s">
        <v>38</v>
      </c>
      <c r="C16" s="17" t="s">
        <v>68</v>
      </c>
      <c r="D16" s="18" t="s">
        <v>170</v>
      </c>
      <c r="E16" s="18" t="s">
        <v>171</v>
      </c>
      <c r="F16" s="18" t="s">
        <v>127</v>
      </c>
      <c r="G16" s="19" t="n">
        <v>2.4</v>
      </c>
      <c r="H16" s="18" t="s">
        <v>172</v>
      </c>
      <c r="I16" s="18" t="s">
        <v>173</v>
      </c>
      <c r="J16" s="20" t="s">
        <v>67</v>
      </c>
      <c r="K16" s="21" t="s">
        <v>27</v>
      </c>
      <c r="L16" s="21" t="s">
        <v>65</v>
      </c>
      <c r="M16" s="21" t="s">
        <v>65</v>
      </c>
      <c r="N16" s="21" t="s">
        <v>65</v>
      </c>
      <c r="O16" s="21" t="s">
        <v>65</v>
      </c>
      <c r="P16" s="22" t="n">
        <f aca="false">COUNTIF(L16:O16,"Yes")/4</f>
        <v>0</v>
      </c>
      <c r="Q16" s="23"/>
      <c r="R16" s="23"/>
      <c r="S16" s="23"/>
      <c r="T16" s="24" t="str">
        <f aca="true">IF(S16&lt;&gt;"","",IF(R16="","",R16-TODAY()))</f>
        <v/>
      </c>
      <c r="U16" s="25"/>
      <c r="V16" s="25" t="s">
        <v>152</v>
      </c>
    </row>
    <row r="17" customFormat="false" ht="45.75" hidden="false" customHeight="true" outlineLevel="0" collapsed="false">
      <c r="A17" s="17" t="s">
        <v>174</v>
      </c>
      <c r="B17" s="17" t="s">
        <v>38</v>
      </c>
      <c r="C17" s="17" t="s">
        <v>68</v>
      </c>
      <c r="D17" s="18" t="s">
        <v>175</v>
      </c>
      <c r="E17" s="18" t="s">
        <v>176</v>
      </c>
      <c r="F17" s="18" t="s">
        <v>127</v>
      </c>
      <c r="G17" s="19" t="n">
        <v>2.6</v>
      </c>
      <c r="H17" s="18" t="s">
        <v>177</v>
      </c>
      <c r="I17" s="18" t="s">
        <v>178</v>
      </c>
      <c r="J17" s="20" t="s">
        <v>67</v>
      </c>
      <c r="K17" s="21" t="s">
        <v>27</v>
      </c>
      <c r="L17" s="21" t="s">
        <v>65</v>
      </c>
      <c r="M17" s="21" t="s">
        <v>65</v>
      </c>
      <c r="N17" s="21" t="s">
        <v>65</v>
      </c>
      <c r="O17" s="21" t="s">
        <v>65</v>
      </c>
      <c r="P17" s="22" t="n">
        <f aca="false">COUNTIF(L17:O17,"Yes")/4</f>
        <v>0</v>
      </c>
      <c r="Q17" s="23"/>
      <c r="R17" s="23"/>
      <c r="S17" s="23"/>
      <c r="T17" s="24" t="str">
        <f aca="true">IF(S17&lt;&gt;"","",IF(R17="","",R17-TODAY()))</f>
        <v/>
      </c>
      <c r="U17" s="25"/>
      <c r="V17" s="25" t="s">
        <v>152</v>
      </c>
    </row>
    <row r="18" customFormat="false" ht="45.75" hidden="false" customHeight="true" outlineLevel="0" collapsed="false">
      <c r="A18" s="17" t="s">
        <v>179</v>
      </c>
      <c r="B18" s="17" t="s">
        <v>38</v>
      </c>
      <c r="C18" s="17" t="s">
        <v>68</v>
      </c>
      <c r="D18" s="18" t="s">
        <v>180</v>
      </c>
      <c r="E18" s="18" t="s">
        <v>181</v>
      </c>
      <c r="F18" s="18" t="s">
        <v>127</v>
      </c>
      <c r="G18" s="19" t="n">
        <v>2.3</v>
      </c>
      <c r="H18" s="18" t="s">
        <v>182</v>
      </c>
      <c r="I18" s="18" t="s">
        <v>183</v>
      </c>
      <c r="J18" s="20" t="s">
        <v>69</v>
      </c>
      <c r="K18" s="21" t="s">
        <v>49</v>
      </c>
      <c r="L18" s="21" t="s">
        <v>70</v>
      </c>
      <c r="M18" s="21" t="s">
        <v>70</v>
      </c>
      <c r="N18" s="21" t="s">
        <v>70</v>
      </c>
      <c r="O18" s="21" t="s">
        <v>65</v>
      </c>
      <c r="P18" s="22" t="n">
        <f aca="false">COUNTIF(L18:O18,"Yes")/4</f>
        <v>0.75</v>
      </c>
      <c r="Q18" s="23" t="n">
        <v>46246</v>
      </c>
      <c r="R18" s="23"/>
      <c r="S18" s="23"/>
      <c r="T18" s="24" t="str">
        <f aca="true">IF(S18&lt;&gt;"","",IF(R18="","",R18-TODAY()))</f>
        <v/>
      </c>
      <c r="U18" s="25"/>
      <c r="V18" s="25" t="s">
        <v>184</v>
      </c>
    </row>
    <row r="19" customFormat="false" ht="45.75" hidden="false" customHeight="true" outlineLevel="0" collapsed="false">
      <c r="A19" s="17" t="s">
        <v>185</v>
      </c>
      <c r="B19" s="17" t="s">
        <v>38</v>
      </c>
      <c r="C19" s="17" t="s">
        <v>68</v>
      </c>
      <c r="D19" s="18" t="s">
        <v>186</v>
      </c>
      <c r="E19" s="18" t="s">
        <v>187</v>
      </c>
      <c r="F19" s="18" t="s">
        <v>188</v>
      </c>
      <c r="G19" s="19" t="n">
        <v>2.7</v>
      </c>
      <c r="H19" s="18" t="s">
        <v>189</v>
      </c>
      <c r="I19" s="18" t="s">
        <v>190</v>
      </c>
      <c r="J19" s="20" t="s">
        <v>67</v>
      </c>
      <c r="K19" s="21" t="s">
        <v>27</v>
      </c>
      <c r="L19" s="21" t="s">
        <v>65</v>
      </c>
      <c r="M19" s="21" t="s">
        <v>65</v>
      </c>
      <c r="N19" s="21" t="s">
        <v>65</v>
      </c>
      <c r="O19" s="21" t="s">
        <v>65</v>
      </c>
      <c r="P19" s="22" t="n">
        <f aca="false">COUNTIF(L19:O19,"Yes")/4</f>
        <v>0</v>
      </c>
      <c r="Q19" s="23"/>
      <c r="R19" s="23"/>
      <c r="S19" s="23"/>
      <c r="T19" s="24" t="str">
        <f aca="true">IF(S19&lt;&gt;"","",IF(R19="","",R19-TODAY()))</f>
        <v/>
      </c>
      <c r="U19" s="25"/>
      <c r="V19" s="25" t="s">
        <v>152</v>
      </c>
    </row>
    <row r="20" customFormat="false" ht="45.75" hidden="false" customHeight="true" outlineLevel="0" collapsed="false">
      <c r="A20" s="17" t="s">
        <v>191</v>
      </c>
      <c r="B20" s="17" t="s">
        <v>39</v>
      </c>
      <c r="C20" s="17" t="s">
        <v>71</v>
      </c>
      <c r="D20" s="18" t="s">
        <v>192</v>
      </c>
      <c r="E20" s="18" t="s">
        <v>193</v>
      </c>
      <c r="F20" s="18" t="s">
        <v>194</v>
      </c>
      <c r="G20" s="19" t="n">
        <v>2</v>
      </c>
      <c r="H20" s="18" t="s">
        <v>195</v>
      </c>
      <c r="I20" s="18" t="s">
        <v>196</v>
      </c>
      <c r="J20" s="20" t="s">
        <v>67</v>
      </c>
      <c r="K20" s="21" t="s">
        <v>27</v>
      </c>
      <c r="L20" s="21" t="s">
        <v>65</v>
      </c>
      <c r="M20" s="21" t="s">
        <v>65</v>
      </c>
      <c r="N20" s="21" t="s">
        <v>65</v>
      </c>
      <c r="O20" s="21" t="s">
        <v>65</v>
      </c>
      <c r="P20" s="22" t="n">
        <f aca="false">COUNTIF(L20:O20,"Yes")/4</f>
        <v>0</v>
      </c>
      <c r="Q20" s="23"/>
      <c r="R20" s="23"/>
      <c r="S20" s="23"/>
      <c r="T20" s="24" t="str">
        <f aca="true">IF(S20&lt;&gt;"","",IF(R20="","",R20-TODAY()))</f>
        <v/>
      </c>
      <c r="U20" s="25"/>
      <c r="V20" s="25"/>
    </row>
    <row r="21" customFormat="false" ht="45.75" hidden="false" customHeight="true" outlineLevel="0" collapsed="false">
      <c r="A21" s="17" t="s">
        <v>197</v>
      </c>
      <c r="B21" s="17" t="s">
        <v>39</v>
      </c>
      <c r="C21" s="17" t="s">
        <v>71</v>
      </c>
      <c r="D21" s="18" t="s">
        <v>198</v>
      </c>
      <c r="E21" s="18" t="s">
        <v>199</v>
      </c>
      <c r="F21" s="18" t="s">
        <v>112</v>
      </c>
      <c r="G21" s="19" t="n">
        <v>1.5</v>
      </c>
      <c r="H21" s="18" t="s">
        <v>200</v>
      </c>
      <c r="I21" s="18" t="s">
        <v>201</v>
      </c>
      <c r="J21" s="20" t="s">
        <v>67</v>
      </c>
      <c r="K21" s="21" t="s">
        <v>27</v>
      </c>
      <c r="L21" s="21" t="s">
        <v>65</v>
      </c>
      <c r="M21" s="21" t="s">
        <v>65</v>
      </c>
      <c r="N21" s="21" t="s">
        <v>65</v>
      </c>
      <c r="O21" s="21" t="s">
        <v>65</v>
      </c>
      <c r="P21" s="22" t="n">
        <f aca="false">COUNTIF(L21:O21,"Yes")/4</f>
        <v>0</v>
      </c>
      <c r="Q21" s="23"/>
      <c r="R21" s="23"/>
      <c r="S21" s="23"/>
      <c r="T21" s="24" t="str">
        <f aca="true">IF(S21&lt;&gt;"","",IF(R21="","",R21-TODAY()))</f>
        <v/>
      </c>
      <c r="U21" s="25"/>
      <c r="V21" s="25"/>
    </row>
    <row r="22" customFormat="false" ht="45.75" hidden="false" customHeight="true" outlineLevel="0" collapsed="false">
      <c r="A22" s="17" t="s">
        <v>202</v>
      </c>
      <c r="B22" s="17" t="s">
        <v>39</v>
      </c>
      <c r="C22" s="17" t="s">
        <v>71</v>
      </c>
      <c r="D22" s="18" t="s">
        <v>203</v>
      </c>
      <c r="E22" s="18" t="s">
        <v>204</v>
      </c>
      <c r="F22" s="18" t="s">
        <v>112</v>
      </c>
      <c r="G22" s="19" t="n">
        <v>2</v>
      </c>
      <c r="H22" s="18" t="s">
        <v>205</v>
      </c>
      <c r="I22" s="18" t="s">
        <v>206</v>
      </c>
      <c r="J22" s="20" t="s">
        <v>67</v>
      </c>
      <c r="K22" s="21" t="s">
        <v>27</v>
      </c>
      <c r="L22" s="21" t="s">
        <v>65</v>
      </c>
      <c r="M22" s="21" t="s">
        <v>65</v>
      </c>
      <c r="N22" s="21" t="s">
        <v>65</v>
      </c>
      <c r="O22" s="21" t="s">
        <v>65</v>
      </c>
      <c r="P22" s="22" t="n">
        <f aca="false">COUNTIF(L22:O22,"Yes")/4</f>
        <v>0</v>
      </c>
      <c r="Q22" s="23"/>
      <c r="R22" s="23"/>
      <c r="S22" s="23"/>
      <c r="T22" s="24" t="str">
        <f aca="true">IF(S22&lt;&gt;"","",IF(R22="","",R22-TODAY()))</f>
        <v/>
      </c>
      <c r="U22" s="25"/>
      <c r="V22" s="25"/>
    </row>
    <row r="23" customFormat="false" ht="45.75" hidden="false" customHeight="true" outlineLevel="0" collapsed="false">
      <c r="A23" s="17" t="s">
        <v>207</v>
      </c>
      <c r="B23" s="17" t="s">
        <v>39</v>
      </c>
      <c r="C23" s="17" t="s">
        <v>71</v>
      </c>
      <c r="D23" s="18" t="s">
        <v>208</v>
      </c>
      <c r="E23" s="18" t="s">
        <v>209</v>
      </c>
      <c r="F23" s="18" t="s">
        <v>188</v>
      </c>
      <c r="G23" s="19" t="n">
        <v>2</v>
      </c>
      <c r="H23" s="18" t="s">
        <v>210</v>
      </c>
      <c r="I23" s="18" t="s">
        <v>211</v>
      </c>
      <c r="J23" s="20" t="s">
        <v>67</v>
      </c>
      <c r="K23" s="21" t="s">
        <v>27</v>
      </c>
      <c r="L23" s="21" t="s">
        <v>65</v>
      </c>
      <c r="M23" s="21" t="s">
        <v>65</v>
      </c>
      <c r="N23" s="21" t="s">
        <v>65</v>
      </c>
      <c r="O23" s="21" t="s">
        <v>65</v>
      </c>
      <c r="P23" s="22" t="n">
        <f aca="false">COUNTIF(L23:O23,"Yes")/4</f>
        <v>0</v>
      </c>
      <c r="Q23" s="23"/>
      <c r="R23" s="23"/>
      <c r="S23" s="23"/>
      <c r="T23" s="24" t="str">
        <f aca="true">IF(S23&lt;&gt;"","",IF(R23="","",R23-TODAY()))</f>
        <v/>
      </c>
      <c r="U23" s="25"/>
      <c r="V23" s="25"/>
    </row>
    <row r="24" customFormat="false" ht="45.75" hidden="false" customHeight="true" outlineLevel="0" collapsed="false">
      <c r="A24" s="17" t="s">
        <v>212</v>
      </c>
      <c r="B24" s="17" t="s">
        <v>39</v>
      </c>
      <c r="C24" s="17" t="s">
        <v>71</v>
      </c>
      <c r="D24" s="18" t="s">
        <v>213</v>
      </c>
      <c r="E24" s="18" t="s">
        <v>214</v>
      </c>
      <c r="F24" s="18" t="s">
        <v>215</v>
      </c>
      <c r="G24" s="19" t="n">
        <v>1.5</v>
      </c>
      <c r="H24" s="18" t="s">
        <v>216</v>
      </c>
      <c r="I24" s="18" t="s">
        <v>217</v>
      </c>
      <c r="J24" s="20" t="s">
        <v>67</v>
      </c>
      <c r="K24" s="21" t="s">
        <v>27</v>
      </c>
      <c r="L24" s="21" t="s">
        <v>65</v>
      </c>
      <c r="M24" s="21" t="s">
        <v>65</v>
      </c>
      <c r="N24" s="21" t="s">
        <v>65</v>
      </c>
      <c r="O24" s="21" t="s">
        <v>65</v>
      </c>
      <c r="P24" s="22" t="n">
        <f aca="false">COUNTIF(L24:O24,"Yes")/4</f>
        <v>0</v>
      </c>
      <c r="Q24" s="23"/>
      <c r="R24" s="23"/>
      <c r="S24" s="23"/>
      <c r="T24" s="24" t="str">
        <f aca="true">IF(S24&lt;&gt;"","",IF(R24="","",R24-TODAY()))</f>
        <v/>
      </c>
      <c r="U24" s="25"/>
      <c r="V24" s="25"/>
    </row>
    <row r="25" customFormat="false" ht="45.75" hidden="false" customHeight="true" outlineLevel="0" collapsed="false">
      <c r="A25" s="17" t="s">
        <v>218</v>
      </c>
      <c r="B25" s="17" t="s">
        <v>39</v>
      </c>
      <c r="C25" s="17" t="s">
        <v>71</v>
      </c>
      <c r="D25" s="18" t="s">
        <v>219</v>
      </c>
      <c r="E25" s="18" t="s">
        <v>220</v>
      </c>
      <c r="F25" s="18" t="s">
        <v>215</v>
      </c>
      <c r="G25" s="19" t="n">
        <v>2</v>
      </c>
      <c r="H25" s="18" t="s">
        <v>221</v>
      </c>
      <c r="I25" s="18" t="s">
        <v>222</v>
      </c>
      <c r="J25" s="20" t="s">
        <v>67</v>
      </c>
      <c r="K25" s="21" t="s">
        <v>27</v>
      </c>
      <c r="L25" s="21" t="s">
        <v>65</v>
      </c>
      <c r="M25" s="21" t="s">
        <v>65</v>
      </c>
      <c r="N25" s="21" t="s">
        <v>65</v>
      </c>
      <c r="O25" s="21" t="s">
        <v>65</v>
      </c>
      <c r="P25" s="22" t="n">
        <f aca="false">COUNTIF(L25:O25,"Yes")/4</f>
        <v>0</v>
      </c>
      <c r="Q25" s="23"/>
      <c r="R25" s="23"/>
      <c r="S25" s="23"/>
      <c r="T25" s="24" t="str">
        <f aca="true">IF(S25&lt;&gt;"","",IF(R25="","",R25-TODAY()))</f>
        <v/>
      </c>
      <c r="U25" s="25"/>
      <c r="V25" s="25"/>
    </row>
    <row r="26" customFormat="false" ht="45.75" hidden="false" customHeight="true" outlineLevel="0" collapsed="false">
      <c r="A26" s="17" t="s">
        <v>223</v>
      </c>
      <c r="B26" s="17" t="s">
        <v>39</v>
      </c>
      <c r="C26" s="17" t="s">
        <v>71</v>
      </c>
      <c r="D26" s="18" t="s">
        <v>224</v>
      </c>
      <c r="E26" s="18" t="s">
        <v>225</v>
      </c>
      <c r="F26" s="18" t="s">
        <v>215</v>
      </c>
      <c r="G26" s="19" t="n">
        <v>2</v>
      </c>
      <c r="H26" s="18" t="s">
        <v>226</v>
      </c>
      <c r="I26" s="18" t="s">
        <v>227</v>
      </c>
      <c r="J26" s="20" t="s">
        <v>67</v>
      </c>
      <c r="K26" s="21" t="s">
        <v>27</v>
      </c>
      <c r="L26" s="21" t="s">
        <v>65</v>
      </c>
      <c r="M26" s="21" t="s">
        <v>65</v>
      </c>
      <c r="N26" s="21" t="s">
        <v>65</v>
      </c>
      <c r="O26" s="21" t="s">
        <v>65</v>
      </c>
      <c r="P26" s="22" t="n">
        <f aca="false">COUNTIF(L26:O26,"Yes")/4</f>
        <v>0</v>
      </c>
      <c r="Q26" s="23"/>
      <c r="R26" s="23"/>
      <c r="S26" s="23"/>
      <c r="T26" s="24" t="str">
        <f aca="true">IF(S26&lt;&gt;"","",IF(R26="","",R26-TODAY()))</f>
        <v/>
      </c>
      <c r="U26" s="25"/>
      <c r="V26" s="25"/>
    </row>
    <row r="27" customFormat="false" ht="45.75" hidden="false" customHeight="true" outlineLevel="0" collapsed="false">
      <c r="A27" s="17" t="s">
        <v>228</v>
      </c>
      <c r="B27" s="17" t="s">
        <v>40</v>
      </c>
      <c r="C27" s="17" t="s">
        <v>73</v>
      </c>
      <c r="D27" s="18" t="s">
        <v>229</v>
      </c>
      <c r="E27" s="18" t="s">
        <v>230</v>
      </c>
      <c r="F27" s="18" t="s">
        <v>188</v>
      </c>
      <c r="G27" s="19" t="n">
        <v>2</v>
      </c>
      <c r="H27" s="18" t="s">
        <v>231</v>
      </c>
      <c r="I27" s="18" t="s">
        <v>232</v>
      </c>
      <c r="J27" s="20" t="s">
        <v>67</v>
      </c>
      <c r="K27" s="21" t="s">
        <v>27</v>
      </c>
      <c r="L27" s="21" t="s">
        <v>65</v>
      </c>
      <c r="M27" s="21" t="s">
        <v>65</v>
      </c>
      <c r="N27" s="21" t="s">
        <v>65</v>
      </c>
      <c r="O27" s="21" t="s">
        <v>65</v>
      </c>
      <c r="P27" s="22" t="n">
        <f aca="false">COUNTIF(L27:O27,"Yes")/4</f>
        <v>0</v>
      </c>
      <c r="Q27" s="23"/>
      <c r="R27" s="23"/>
      <c r="S27" s="23"/>
      <c r="T27" s="24" t="str">
        <f aca="true">IF(S27&lt;&gt;"","",IF(R27="","",R27-TODAY()))</f>
        <v/>
      </c>
      <c r="U27" s="25"/>
      <c r="V27" s="25"/>
    </row>
    <row r="28" customFormat="false" ht="45.75" hidden="false" customHeight="true" outlineLevel="0" collapsed="false">
      <c r="A28" s="17" t="s">
        <v>233</v>
      </c>
      <c r="B28" s="17" t="s">
        <v>40</v>
      </c>
      <c r="C28" s="17" t="s">
        <v>73</v>
      </c>
      <c r="D28" s="18" t="s">
        <v>234</v>
      </c>
      <c r="E28" s="18" t="s">
        <v>235</v>
      </c>
      <c r="F28" s="18" t="s">
        <v>188</v>
      </c>
      <c r="G28" s="19" t="n">
        <v>2</v>
      </c>
      <c r="H28" s="18" t="s">
        <v>236</v>
      </c>
      <c r="I28" s="18" t="s">
        <v>237</v>
      </c>
      <c r="J28" s="20" t="s">
        <v>67</v>
      </c>
      <c r="K28" s="21" t="s">
        <v>27</v>
      </c>
      <c r="L28" s="21" t="s">
        <v>65</v>
      </c>
      <c r="M28" s="21" t="s">
        <v>65</v>
      </c>
      <c r="N28" s="21" t="s">
        <v>65</v>
      </c>
      <c r="O28" s="21" t="s">
        <v>65</v>
      </c>
      <c r="P28" s="22" t="n">
        <f aca="false">COUNTIF(L28:O28,"Yes")/4</f>
        <v>0</v>
      </c>
      <c r="Q28" s="23"/>
      <c r="R28" s="23"/>
      <c r="S28" s="23"/>
      <c r="T28" s="24" t="str">
        <f aca="true">IF(S28&lt;&gt;"","",IF(R28="","",R28-TODAY()))</f>
        <v/>
      </c>
      <c r="U28" s="25"/>
      <c r="V28" s="25"/>
    </row>
    <row r="29" customFormat="false" ht="45.75" hidden="false" customHeight="true" outlineLevel="0" collapsed="false">
      <c r="A29" s="17" t="s">
        <v>238</v>
      </c>
      <c r="B29" s="17" t="s">
        <v>40</v>
      </c>
      <c r="C29" s="17" t="s">
        <v>73</v>
      </c>
      <c r="D29" s="18" t="s">
        <v>239</v>
      </c>
      <c r="E29" s="18" t="s">
        <v>240</v>
      </c>
      <c r="F29" s="18" t="s">
        <v>188</v>
      </c>
      <c r="G29" s="19" t="n">
        <v>1.5</v>
      </c>
      <c r="H29" s="18" t="s">
        <v>241</v>
      </c>
      <c r="I29" s="18" t="s">
        <v>242</v>
      </c>
      <c r="J29" s="20" t="s">
        <v>67</v>
      </c>
      <c r="K29" s="21" t="s">
        <v>27</v>
      </c>
      <c r="L29" s="21" t="s">
        <v>65</v>
      </c>
      <c r="M29" s="21" t="s">
        <v>65</v>
      </c>
      <c r="N29" s="21" t="s">
        <v>65</v>
      </c>
      <c r="O29" s="21" t="s">
        <v>65</v>
      </c>
      <c r="P29" s="22" t="n">
        <f aca="false">COUNTIF(L29:O29,"Yes")/4</f>
        <v>0</v>
      </c>
      <c r="Q29" s="23"/>
      <c r="R29" s="23"/>
      <c r="S29" s="23"/>
      <c r="T29" s="24" t="str">
        <f aca="true">IF(S29&lt;&gt;"","",IF(R29="","",R29-TODAY()))</f>
        <v/>
      </c>
      <c r="U29" s="25"/>
      <c r="V29" s="25"/>
    </row>
    <row r="30" customFormat="false" ht="45.75" hidden="false" customHeight="true" outlineLevel="0" collapsed="false">
      <c r="A30" s="17" t="s">
        <v>243</v>
      </c>
      <c r="B30" s="17" t="s">
        <v>40</v>
      </c>
      <c r="C30" s="17" t="s">
        <v>73</v>
      </c>
      <c r="D30" s="18" t="s">
        <v>244</v>
      </c>
      <c r="E30" s="18" t="s">
        <v>245</v>
      </c>
      <c r="F30" s="18" t="s">
        <v>188</v>
      </c>
      <c r="G30" s="19" t="n">
        <v>2</v>
      </c>
      <c r="H30" s="18" t="s">
        <v>246</v>
      </c>
      <c r="I30" s="18" t="s">
        <v>247</v>
      </c>
      <c r="J30" s="20" t="s">
        <v>67</v>
      </c>
      <c r="K30" s="21" t="s">
        <v>27</v>
      </c>
      <c r="L30" s="21" t="s">
        <v>65</v>
      </c>
      <c r="M30" s="21" t="s">
        <v>65</v>
      </c>
      <c r="N30" s="21" t="s">
        <v>65</v>
      </c>
      <c r="O30" s="21" t="s">
        <v>65</v>
      </c>
      <c r="P30" s="22" t="n">
        <f aca="false">COUNTIF(L30:O30,"Yes")/4</f>
        <v>0</v>
      </c>
      <c r="Q30" s="23"/>
      <c r="R30" s="23"/>
      <c r="S30" s="23"/>
      <c r="T30" s="24" t="str">
        <f aca="true">IF(S30&lt;&gt;"","",IF(R30="","",R30-TODAY()))</f>
        <v/>
      </c>
      <c r="U30" s="25"/>
      <c r="V30" s="25"/>
    </row>
    <row r="31" customFormat="false" ht="45.75" hidden="false" customHeight="true" outlineLevel="0" collapsed="false">
      <c r="A31" s="17" t="s">
        <v>248</v>
      </c>
      <c r="B31" s="17" t="s">
        <v>40</v>
      </c>
      <c r="C31" s="17" t="s">
        <v>73</v>
      </c>
      <c r="D31" s="18" t="s">
        <v>249</v>
      </c>
      <c r="E31" s="18" t="s">
        <v>250</v>
      </c>
      <c r="F31" s="18" t="s">
        <v>251</v>
      </c>
      <c r="G31" s="19" t="n">
        <v>2</v>
      </c>
      <c r="H31" s="18" t="s">
        <v>252</v>
      </c>
      <c r="I31" s="18" t="s">
        <v>253</v>
      </c>
      <c r="J31" s="20" t="s">
        <v>67</v>
      </c>
      <c r="K31" s="21" t="s">
        <v>27</v>
      </c>
      <c r="L31" s="21" t="s">
        <v>65</v>
      </c>
      <c r="M31" s="21" t="s">
        <v>65</v>
      </c>
      <c r="N31" s="21" t="s">
        <v>65</v>
      </c>
      <c r="O31" s="21" t="s">
        <v>65</v>
      </c>
      <c r="P31" s="22" t="n">
        <f aca="false">COUNTIF(L31:O31,"Yes")/4</f>
        <v>0</v>
      </c>
      <c r="Q31" s="23"/>
      <c r="R31" s="23"/>
      <c r="S31" s="23"/>
      <c r="T31" s="24" t="str">
        <f aca="true">IF(S31&lt;&gt;"","",IF(R31="","",R31-TODAY()))</f>
        <v/>
      </c>
      <c r="U31" s="25"/>
      <c r="V31" s="25"/>
    </row>
    <row r="32" customFormat="false" ht="45.75" hidden="false" customHeight="true" outlineLevel="0" collapsed="false">
      <c r="A32" s="17" t="s">
        <v>254</v>
      </c>
      <c r="B32" s="17" t="s">
        <v>40</v>
      </c>
      <c r="C32" s="17" t="s">
        <v>73</v>
      </c>
      <c r="D32" s="18" t="s">
        <v>255</v>
      </c>
      <c r="E32" s="18" t="s">
        <v>256</v>
      </c>
      <c r="F32" s="18" t="s">
        <v>257</v>
      </c>
      <c r="G32" s="19" t="n">
        <v>2</v>
      </c>
      <c r="H32" s="18" t="s">
        <v>258</v>
      </c>
      <c r="I32" s="18" t="s">
        <v>259</v>
      </c>
      <c r="J32" s="20" t="s">
        <v>67</v>
      </c>
      <c r="K32" s="21" t="s">
        <v>27</v>
      </c>
      <c r="L32" s="21" t="s">
        <v>65</v>
      </c>
      <c r="M32" s="21" t="s">
        <v>65</v>
      </c>
      <c r="N32" s="21" t="s">
        <v>65</v>
      </c>
      <c r="O32" s="21" t="s">
        <v>65</v>
      </c>
      <c r="P32" s="22" t="n">
        <f aca="false">COUNTIF(L32:O32,"Yes")/4</f>
        <v>0</v>
      </c>
      <c r="Q32" s="23"/>
      <c r="R32" s="23"/>
      <c r="S32" s="23"/>
      <c r="T32" s="24" t="str">
        <f aca="true">IF(S32&lt;&gt;"","",IF(R32="","",R32-TODAY()))</f>
        <v/>
      </c>
      <c r="U32" s="25"/>
      <c r="V32" s="25"/>
    </row>
    <row r="33" customFormat="false" ht="45.75" hidden="false" customHeight="true" outlineLevel="0" collapsed="false">
      <c r="A33" s="17" t="s">
        <v>260</v>
      </c>
      <c r="B33" s="17" t="s">
        <v>40</v>
      </c>
      <c r="C33" s="17" t="s">
        <v>73</v>
      </c>
      <c r="D33" s="18" t="s">
        <v>261</v>
      </c>
      <c r="E33" s="18" t="s">
        <v>262</v>
      </c>
      <c r="F33" s="18" t="s">
        <v>263</v>
      </c>
      <c r="G33" s="19" t="n">
        <v>1.5</v>
      </c>
      <c r="H33" s="18" t="s">
        <v>264</v>
      </c>
      <c r="I33" s="18" t="s">
        <v>265</v>
      </c>
      <c r="J33" s="20" t="s">
        <v>67</v>
      </c>
      <c r="K33" s="21" t="s">
        <v>27</v>
      </c>
      <c r="L33" s="21" t="s">
        <v>65</v>
      </c>
      <c r="M33" s="21" t="s">
        <v>65</v>
      </c>
      <c r="N33" s="21" t="s">
        <v>65</v>
      </c>
      <c r="O33" s="21" t="s">
        <v>65</v>
      </c>
      <c r="P33" s="22" t="n">
        <f aca="false">COUNTIF(L33:O33,"Yes")/4</f>
        <v>0</v>
      </c>
      <c r="Q33" s="23"/>
      <c r="R33" s="23"/>
      <c r="S33" s="23"/>
      <c r="T33" s="24" t="str">
        <f aca="true">IF(S33&lt;&gt;"","",IF(R33="","",R33-TODAY()))</f>
        <v/>
      </c>
      <c r="U33" s="25"/>
      <c r="V33" s="25"/>
    </row>
    <row r="34" customFormat="false" ht="45.75" hidden="false" customHeight="true" outlineLevel="0" collapsed="false">
      <c r="A34" s="17" t="s">
        <v>266</v>
      </c>
      <c r="B34" s="17" t="s">
        <v>40</v>
      </c>
      <c r="C34" s="17" t="s">
        <v>73</v>
      </c>
      <c r="D34" s="18" t="s">
        <v>267</v>
      </c>
      <c r="E34" s="18" t="s">
        <v>268</v>
      </c>
      <c r="F34" s="18" t="s">
        <v>269</v>
      </c>
      <c r="G34" s="19" t="n">
        <v>2</v>
      </c>
      <c r="H34" s="18" t="s">
        <v>270</v>
      </c>
      <c r="I34" s="18" t="s">
        <v>271</v>
      </c>
      <c r="J34" s="20" t="s">
        <v>67</v>
      </c>
      <c r="K34" s="21" t="s">
        <v>27</v>
      </c>
      <c r="L34" s="21" t="s">
        <v>65</v>
      </c>
      <c r="M34" s="21" t="s">
        <v>65</v>
      </c>
      <c r="N34" s="21" t="s">
        <v>65</v>
      </c>
      <c r="O34" s="21" t="s">
        <v>65</v>
      </c>
      <c r="P34" s="22" t="n">
        <f aca="false">COUNTIF(L34:O34,"Yes")/4</f>
        <v>0</v>
      </c>
      <c r="Q34" s="23"/>
      <c r="R34" s="23"/>
      <c r="S34" s="23"/>
      <c r="T34" s="24" t="str">
        <f aca="true">IF(S34&lt;&gt;"","",IF(R34="","",R34-TODAY()))</f>
        <v/>
      </c>
      <c r="U34" s="25"/>
      <c r="V34" s="25"/>
    </row>
    <row r="35" customFormat="false" ht="45.75" hidden="false" customHeight="true" outlineLevel="0" collapsed="false">
      <c r="A35" s="17" t="s">
        <v>272</v>
      </c>
      <c r="B35" s="17" t="s">
        <v>40</v>
      </c>
      <c r="C35" s="17" t="s">
        <v>73</v>
      </c>
      <c r="D35" s="18" t="s">
        <v>273</v>
      </c>
      <c r="E35" s="18" t="s">
        <v>274</v>
      </c>
      <c r="F35" s="18" t="s">
        <v>275</v>
      </c>
      <c r="G35" s="19" t="n">
        <v>2</v>
      </c>
      <c r="H35" s="18" t="s">
        <v>276</v>
      </c>
      <c r="I35" s="18" t="s">
        <v>277</v>
      </c>
      <c r="J35" s="20" t="s">
        <v>67</v>
      </c>
      <c r="K35" s="21" t="s">
        <v>27</v>
      </c>
      <c r="L35" s="21" t="s">
        <v>65</v>
      </c>
      <c r="M35" s="21" t="s">
        <v>65</v>
      </c>
      <c r="N35" s="21" t="s">
        <v>65</v>
      </c>
      <c r="O35" s="21" t="s">
        <v>65</v>
      </c>
      <c r="P35" s="22" t="n">
        <f aca="false">COUNTIF(L35:O35,"Yes")/4</f>
        <v>0</v>
      </c>
      <c r="Q35" s="23"/>
      <c r="R35" s="23"/>
      <c r="S35" s="23"/>
      <c r="T35" s="24" t="str">
        <f aca="true">IF(S35&lt;&gt;"","",IF(R35="","",R35-TODAY()))</f>
        <v/>
      </c>
      <c r="U35" s="25"/>
      <c r="V35" s="25"/>
    </row>
    <row r="36" customFormat="false" ht="45.75" hidden="false" customHeight="true" outlineLevel="0" collapsed="false">
      <c r="A36" s="17" t="s">
        <v>278</v>
      </c>
      <c r="B36" s="17" t="s">
        <v>41</v>
      </c>
      <c r="C36" s="17" t="s">
        <v>75</v>
      </c>
      <c r="D36" s="18" t="s">
        <v>279</v>
      </c>
      <c r="E36" s="18" t="s">
        <v>280</v>
      </c>
      <c r="F36" s="18" t="s">
        <v>105</v>
      </c>
      <c r="G36" s="19" t="n">
        <v>1.5</v>
      </c>
      <c r="H36" s="18" t="s">
        <v>281</v>
      </c>
      <c r="I36" s="18"/>
      <c r="J36" s="20" t="s">
        <v>67</v>
      </c>
      <c r="K36" s="21" t="s">
        <v>27</v>
      </c>
      <c r="L36" s="21" t="s">
        <v>65</v>
      </c>
      <c r="M36" s="21" t="s">
        <v>65</v>
      </c>
      <c r="N36" s="21" t="s">
        <v>65</v>
      </c>
      <c r="O36" s="21" t="s">
        <v>65</v>
      </c>
      <c r="P36" s="22" t="n">
        <f aca="false">COUNTIF(L36:O36,"Yes")/4</f>
        <v>0</v>
      </c>
      <c r="Q36" s="23"/>
      <c r="R36" s="23"/>
      <c r="S36" s="23"/>
      <c r="T36" s="24" t="str">
        <f aca="true">IF(S36&lt;&gt;"","",IF(R36="","",R36-TODAY()))</f>
        <v/>
      </c>
      <c r="U36" s="25"/>
      <c r="V36" s="25"/>
    </row>
    <row r="37" customFormat="false" ht="45.75" hidden="false" customHeight="true" outlineLevel="0" collapsed="false">
      <c r="A37" s="17" t="s">
        <v>282</v>
      </c>
      <c r="B37" s="17" t="s">
        <v>41</v>
      </c>
      <c r="C37" s="17" t="s">
        <v>75</v>
      </c>
      <c r="D37" s="18" t="s">
        <v>283</v>
      </c>
      <c r="E37" s="18" t="s">
        <v>111</v>
      </c>
      <c r="F37" s="18" t="s">
        <v>112</v>
      </c>
      <c r="G37" s="19" t="n">
        <v>1.5</v>
      </c>
      <c r="H37" s="18" t="s">
        <v>284</v>
      </c>
      <c r="I37" s="18"/>
      <c r="J37" s="20" t="s">
        <v>67</v>
      </c>
      <c r="K37" s="21" t="s">
        <v>27</v>
      </c>
      <c r="L37" s="21" t="s">
        <v>65</v>
      </c>
      <c r="M37" s="21" t="s">
        <v>65</v>
      </c>
      <c r="N37" s="21" t="s">
        <v>65</v>
      </c>
      <c r="O37" s="21" t="s">
        <v>65</v>
      </c>
      <c r="P37" s="22" t="n">
        <f aca="false">COUNTIF(L37:O37,"Yes")/4</f>
        <v>0</v>
      </c>
      <c r="Q37" s="23"/>
      <c r="R37" s="23"/>
      <c r="S37" s="23"/>
      <c r="T37" s="24" t="str">
        <f aca="true">IF(S37&lt;&gt;"","",IF(R37="","",R37-TODAY()))</f>
        <v/>
      </c>
      <c r="U37" s="25"/>
      <c r="V37" s="25"/>
    </row>
    <row r="38" customFormat="false" ht="45.75" hidden="false" customHeight="true" outlineLevel="0" collapsed="false">
      <c r="A38" s="17" t="s">
        <v>285</v>
      </c>
      <c r="B38" s="17" t="s">
        <v>41</v>
      </c>
      <c r="C38" s="17" t="s">
        <v>75</v>
      </c>
      <c r="D38" s="18" t="s">
        <v>286</v>
      </c>
      <c r="E38" s="18" t="s">
        <v>287</v>
      </c>
      <c r="F38" s="18" t="s">
        <v>127</v>
      </c>
      <c r="G38" s="19" t="n">
        <v>1.5</v>
      </c>
      <c r="H38" s="18" t="s">
        <v>288</v>
      </c>
      <c r="I38" s="18"/>
      <c r="J38" s="20" t="s">
        <v>67</v>
      </c>
      <c r="K38" s="21" t="s">
        <v>27</v>
      </c>
      <c r="L38" s="21" t="s">
        <v>65</v>
      </c>
      <c r="M38" s="21" t="s">
        <v>65</v>
      </c>
      <c r="N38" s="21" t="s">
        <v>65</v>
      </c>
      <c r="O38" s="21" t="s">
        <v>65</v>
      </c>
      <c r="P38" s="22" t="n">
        <f aca="false">COUNTIF(L38:O38,"Yes")/4</f>
        <v>0</v>
      </c>
      <c r="Q38" s="23"/>
      <c r="R38" s="23"/>
      <c r="S38" s="23"/>
      <c r="T38" s="24" t="str">
        <f aca="true">IF(S38&lt;&gt;"","",IF(R38="","",R38-TODAY()))</f>
        <v/>
      </c>
      <c r="U38" s="25"/>
      <c r="V38" s="25"/>
    </row>
    <row r="39" customFormat="false" ht="45.75" hidden="false" customHeight="true" outlineLevel="0" collapsed="false">
      <c r="A39" s="17" t="s">
        <v>289</v>
      </c>
      <c r="B39" s="17" t="s">
        <v>41</v>
      </c>
      <c r="C39" s="17" t="s">
        <v>75</v>
      </c>
      <c r="D39" s="18" t="s">
        <v>290</v>
      </c>
      <c r="E39" s="18" t="s">
        <v>291</v>
      </c>
      <c r="F39" s="18" t="s">
        <v>215</v>
      </c>
      <c r="G39" s="19" t="n">
        <v>2</v>
      </c>
      <c r="H39" s="18" t="s">
        <v>292</v>
      </c>
      <c r="I39" s="18"/>
      <c r="J39" s="20" t="s">
        <v>67</v>
      </c>
      <c r="K39" s="21" t="s">
        <v>27</v>
      </c>
      <c r="L39" s="21" t="s">
        <v>65</v>
      </c>
      <c r="M39" s="21" t="s">
        <v>65</v>
      </c>
      <c r="N39" s="21" t="s">
        <v>65</v>
      </c>
      <c r="O39" s="21" t="s">
        <v>65</v>
      </c>
      <c r="P39" s="22" t="n">
        <f aca="false">COUNTIF(L39:O39,"Yes")/4</f>
        <v>0</v>
      </c>
      <c r="Q39" s="23"/>
      <c r="R39" s="23"/>
      <c r="S39" s="23"/>
      <c r="T39" s="24" t="str">
        <f aca="true">IF(S39&lt;&gt;"","",IF(R39="","",R39-TODAY()))</f>
        <v/>
      </c>
      <c r="U39" s="25"/>
      <c r="V39" s="25"/>
    </row>
    <row r="40" customFormat="false" ht="45.75" hidden="false" customHeight="true" outlineLevel="0" collapsed="false">
      <c r="A40" s="17" t="s">
        <v>293</v>
      </c>
      <c r="B40" s="17" t="s">
        <v>41</v>
      </c>
      <c r="C40" s="17" t="s">
        <v>75</v>
      </c>
      <c r="D40" s="18" t="s">
        <v>294</v>
      </c>
      <c r="E40" s="18" t="s">
        <v>295</v>
      </c>
      <c r="F40" s="18" t="s">
        <v>105</v>
      </c>
      <c r="G40" s="19" t="n">
        <v>1.5</v>
      </c>
      <c r="H40" s="18" t="s">
        <v>296</v>
      </c>
      <c r="I40" s="18"/>
      <c r="J40" s="20" t="s">
        <v>67</v>
      </c>
      <c r="K40" s="21" t="s">
        <v>27</v>
      </c>
      <c r="L40" s="21" t="s">
        <v>65</v>
      </c>
      <c r="M40" s="21" t="s">
        <v>65</v>
      </c>
      <c r="N40" s="21" t="s">
        <v>65</v>
      </c>
      <c r="O40" s="21" t="s">
        <v>65</v>
      </c>
      <c r="P40" s="22" t="n">
        <f aca="false">COUNTIF(L40:O40,"Yes")/4</f>
        <v>0</v>
      </c>
      <c r="Q40" s="23"/>
      <c r="R40" s="23"/>
      <c r="S40" s="23"/>
      <c r="T40" s="24" t="str">
        <f aca="true">IF(S40&lt;&gt;"","",IF(R40="","",R40-TODAY()))</f>
        <v/>
      </c>
      <c r="U40" s="25"/>
      <c r="V40" s="25"/>
    </row>
    <row r="41" customFormat="false" ht="45.75" hidden="false" customHeight="true" outlineLevel="0" collapsed="false">
      <c r="A41" s="17" t="s">
        <v>297</v>
      </c>
      <c r="B41" s="17" t="s">
        <v>41</v>
      </c>
      <c r="C41" s="17" t="s">
        <v>75</v>
      </c>
      <c r="D41" s="18" t="s">
        <v>298</v>
      </c>
      <c r="E41" s="18" t="s">
        <v>117</v>
      </c>
      <c r="F41" s="18" t="s">
        <v>112</v>
      </c>
      <c r="G41" s="19" t="n">
        <v>1.5</v>
      </c>
      <c r="H41" s="18" t="s">
        <v>299</v>
      </c>
      <c r="I41" s="18"/>
      <c r="J41" s="20" t="s">
        <v>67</v>
      </c>
      <c r="K41" s="21" t="s">
        <v>27</v>
      </c>
      <c r="L41" s="21" t="s">
        <v>65</v>
      </c>
      <c r="M41" s="21" t="s">
        <v>65</v>
      </c>
      <c r="N41" s="21" t="s">
        <v>65</v>
      </c>
      <c r="O41" s="21" t="s">
        <v>65</v>
      </c>
      <c r="P41" s="22" t="n">
        <f aca="false">COUNTIF(L41:O41,"Yes")/4</f>
        <v>0</v>
      </c>
      <c r="Q41" s="23"/>
      <c r="R41" s="23"/>
      <c r="S41" s="23"/>
      <c r="T41" s="24" t="str">
        <f aca="true">IF(S41&lt;&gt;"","",IF(R41="","",R41-TODAY()))</f>
        <v/>
      </c>
      <c r="U41" s="25"/>
      <c r="V41" s="25"/>
    </row>
  </sheetData>
  <autoFilter ref="A2:V41"/>
  <mergeCells count="1">
    <mergeCell ref="A1:V1"/>
  </mergeCells>
  <conditionalFormatting sqref="K3:K41">
    <cfRule type="cellIs" priority="2" operator="equal" aboveAverage="0" equalAverage="0" bottom="0" percent="0" rank="0" text="" dxfId="4">
      <formula>"Published"</formula>
    </cfRule>
    <cfRule type="cellIs" priority="3" operator="equal" aboveAverage="0" equalAverage="0" bottom="0" percent="0" rank="0" text="" dxfId="5">
      <formula>"On hold"</formula>
    </cfRule>
  </conditionalFormatting>
  <conditionalFormatting sqref="T3:T41">
    <cfRule type="cellIs" priority="4" operator="lessThan" aboveAverage="0" equalAverage="0" bottom="0" percent="0" rank="0" text="" dxfId="6">
      <formula>0</formula>
    </cfRule>
  </conditionalFormatting>
  <conditionalFormatting sqref="P3:P41">
    <cfRule type="dataBar" priority="5">
      <dataBar showValue="1" minLength="10" maxLength="90">
        <cfvo type="num" val="0"/>
        <cfvo type="num" val="1"/>
        <color rgb="FF0E7490"/>
      </dataBar>
      <extLst>
        <ext xmlns:x14="http://schemas.microsoft.com/office/spreadsheetml/2009/9/main" uri="{B025F937-C7B1-47D3-B67F-A62EFF666E3E}">
          <x14:id>{B0E36FCA-5E8C-4F83-855A-1AA2F342F629}</x14:id>
        </ext>
      </extLst>
    </cfRule>
  </conditionalFormatting>
  <dataValidations count="5">
    <dataValidation allowBlank="true" errorStyle="stop" operator="between" showDropDown="false" showErrorMessage="false" showInputMessage="false" sqref="K3:K41" type="list">
      <formula1>Lists!$A$2:$A$9</formula1>
      <formula2>0</formula2>
    </dataValidation>
    <dataValidation allowBlank="true" errorStyle="stop" operator="between" showDropDown="false" showErrorMessage="false" showInputMessage="false" sqref="L3:O41" type="list">
      <formula1>Lists!$B$2:$B$4</formula1>
      <formula2>0</formula2>
    </dataValidation>
    <dataValidation allowBlank="true" errorStyle="stop" operator="between" showDropDown="false" showErrorMessage="false" showInputMessage="false" sqref="B3:B41" type="list">
      <formula1>Lists!$C$2:$C$7</formula1>
      <formula2>0</formula2>
    </dataValidation>
    <dataValidation allowBlank="true" errorStyle="stop" operator="between" showDropDown="false" showErrorMessage="false" showInputMessage="false" sqref="C3:C41" type="list">
      <formula1>Lists!$D$2:$D$6</formula1>
      <formula2>0</formula2>
    </dataValidation>
    <dataValidation allowBlank="true" errorStyle="stop" operator="between" showDropDown="false" showErrorMessage="false" showInputMessage="false" sqref="J3:J41" type="list">
      <formula1>Lists!$E$2:$E$7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E36FCA-5E8C-4F83-855A-1AA2F342F62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E7490"/>
              <x14:axisColor rgb="FF000000"/>
            </x14:dataBar>
          </x14:cfRule>
          <xm:sqref>P3:P41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2026-08-01T18:22:35Z</dcterms:created>
  <dc:creator>openpyxl</dc:creator>
  <dc:description/>
  <dc:language>en-US</dc:language>
  <cp:lastModifiedBy/>
  <dcterms:modified xsi:type="dcterms:W3CDTF">2026-08-12T14:47:28Z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